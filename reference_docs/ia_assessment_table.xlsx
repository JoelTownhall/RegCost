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mpact Analysis\"/>
    </mc:Choice>
  </mc:AlternateContent>
  <xr:revisionPtr revIDLastSave="0" documentId="8_{78E4B2C0-83F0-4705-B55A-7737C36ECBD3}" xr6:coauthVersionLast="47" xr6:coauthVersionMax="47" xr10:uidLastSave="{00000000-0000-0000-0000-000000000000}"/>
  <bookViews>
    <workbookView xWindow="4680" yWindow="4680" windowWidth="28800" windowHeight="15225" activeTab="1" xr2:uid="{7188EFAD-2ED4-41EC-B597-0216E429DF84}"/>
  </bookViews>
  <sheets>
    <sheet name="README" sheetId="2" r:id="rId1"/>
    <sheet name="Settings" sheetId="3" r:id="rId2"/>
    <sheet name="Cost Calculator" sheetId="4" r:id="rId3"/>
    <sheet name="NPV Summary" sheetId="5" r:id="rId4"/>
    <sheet name="Default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5" l="1"/>
  <c r="D40" i="5"/>
  <c r="D39" i="5"/>
  <c r="D38" i="5"/>
  <c r="D37" i="5"/>
  <c r="D36" i="5"/>
  <c r="C41" i="5"/>
  <c r="B41" i="5"/>
  <c r="C40" i="5"/>
  <c r="B40" i="5"/>
  <c r="C39" i="5"/>
  <c r="B39" i="5"/>
  <c r="C38" i="5"/>
  <c r="B38" i="5"/>
  <c r="C37" i="5"/>
  <c r="B37" i="5"/>
  <c r="C36" i="5"/>
  <c r="B36" i="5"/>
  <c r="D33" i="5"/>
  <c r="A16" i="5"/>
  <c r="A17" i="5" s="1"/>
  <c r="A15" i="5"/>
  <c r="F15" i="5" s="1"/>
  <c r="A14" i="5"/>
  <c r="F13" i="5"/>
  <c r="E13" i="5"/>
  <c r="D13" i="5"/>
  <c r="C13" i="5"/>
  <c r="B13" i="5"/>
  <c r="A13" i="5"/>
  <c r="E12" i="5"/>
  <c r="D12" i="5"/>
  <c r="C12" i="5"/>
  <c r="B12" i="5"/>
  <c r="B8" i="5"/>
  <c r="B7" i="5"/>
  <c r="B6" i="5"/>
  <c r="B5" i="5"/>
  <c r="I56" i="4"/>
  <c r="H56" i="4"/>
  <c r="I54" i="4"/>
  <c r="H54" i="4"/>
  <c r="I53" i="4"/>
  <c r="H53" i="4"/>
  <c r="D53" i="4"/>
  <c r="I52" i="4"/>
  <c r="H52" i="4"/>
  <c r="D52" i="4"/>
  <c r="I51" i="4"/>
  <c r="H51" i="4"/>
  <c r="D51" i="4"/>
  <c r="D50" i="4"/>
  <c r="D49" i="4"/>
  <c r="D48" i="4"/>
  <c r="I43" i="4"/>
  <c r="H43" i="4"/>
  <c r="I42" i="4"/>
  <c r="H42" i="4"/>
  <c r="E42" i="4"/>
  <c r="I41" i="4"/>
  <c r="H41" i="4"/>
  <c r="E41" i="4"/>
  <c r="I40" i="4"/>
  <c r="H40" i="4"/>
  <c r="E40" i="4"/>
  <c r="I39" i="4"/>
  <c r="H39" i="4"/>
  <c r="E39" i="4"/>
  <c r="I38" i="4"/>
  <c r="H38" i="4"/>
  <c r="E38" i="4"/>
  <c r="I33" i="4"/>
  <c r="H33" i="4"/>
  <c r="I32" i="4"/>
  <c r="H32" i="4"/>
  <c r="E32" i="4"/>
  <c r="I31" i="4"/>
  <c r="H31" i="4"/>
  <c r="E31" i="4"/>
  <c r="I30" i="4"/>
  <c r="H30" i="4"/>
  <c r="E30" i="4"/>
  <c r="I29" i="4"/>
  <c r="H29" i="4"/>
  <c r="E29" i="4"/>
  <c r="I28" i="4"/>
  <c r="H28" i="4"/>
  <c r="E28" i="4"/>
  <c r="I23" i="4"/>
  <c r="H23" i="4"/>
  <c r="I22" i="4"/>
  <c r="H22" i="4"/>
  <c r="E22" i="4"/>
  <c r="I21" i="4"/>
  <c r="H21" i="4"/>
  <c r="E21" i="4"/>
  <c r="I20" i="4"/>
  <c r="H20" i="4"/>
  <c r="E20" i="4"/>
  <c r="I19" i="4"/>
  <c r="H19" i="4"/>
  <c r="E19" i="4"/>
  <c r="I18" i="4"/>
  <c r="H18" i="4"/>
  <c r="E18" i="4"/>
  <c r="I13" i="4"/>
  <c r="H13" i="4"/>
  <c r="I12" i="4"/>
  <c r="H12" i="4"/>
  <c r="G12" i="4"/>
  <c r="F12" i="4"/>
  <c r="D12" i="4"/>
  <c r="I11" i="4"/>
  <c r="H11" i="4"/>
  <c r="G11" i="4"/>
  <c r="F11" i="4"/>
  <c r="D11" i="4"/>
  <c r="I10" i="4"/>
  <c r="H10" i="4"/>
  <c r="G10" i="4"/>
  <c r="F10" i="4"/>
  <c r="D10" i="4"/>
  <c r="I9" i="4"/>
  <c r="H9" i="4"/>
  <c r="G9" i="4"/>
  <c r="F9" i="4"/>
  <c r="D9" i="4"/>
  <c r="I8" i="4"/>
  <c r="H8" i="4"/>
  <c r="G8" i="4"/>
  <c r="F8" i="4"/>
  <c r="D8" i="4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18" i="3"/>
  <c r="C17" i="3"/>
  <c r="C16" i="3"/>
  <c r="C12" i="3"/>
  <c r="C11" i="3"/>
  <c r="C10" i="3"/>
  <c r="C9" i="3"/>
  <c r="C8" i="3"/>
  <c r="C7" i="3"/>
  <c r="B17" i="5" l="1"/>
  <c r="D17" i="5" s="1"/>
  <c r="A18" i="5"/>
  <c r="F17" i="5"/>
  <c r="C17" i="5"/>
  <c r="F14" i="5"/>
  <c r="B16" i="5"/>
  <c r="B15" i="5"/>
  <c r="D15" i="5" s="1"/>
  <c r="D16" i="5"/>
  <c r="C15" i="5"/>
  <c r="C16" i="5"/>
  <c r="B14" i="5"/>
  <c r="D14" i="5" s="1"/>
  <c r="E14" i="5" s="1"/>
  <c r="E15" i="5" s="1"/>
  <c r="E16" i="5" s="1"/>
  <c r="E17" i="5" s="1"/>
  <c r="F16" i="5"/>
  <c r="C14" i="5"/>
  <c r="C18" i="5" l="1"/>
  <c r="B18" i="5"/>
  <c r="D18" i="5" s="1"/>
  <c r="E18" i="5" s="1"/>
  <c r="A19" i="5"/>
  <c r="F18" i="5"/>
  <c r="F19" i="5" l="1"/>
  <c r="C19" i="5"/>
  <c r="B19" i="5"/>
  <c r="D19" i="5" s="1"/>
  <c r="E19" i="5" s="1"/>
  <c r="A20" i="5"/>
  <c r="C20" i="5" l="1"/>
  <c r="A21" i="5"/>
  <c r="F20" i="5"/>
  <c r="B20" i="5"/>
  <c r="D20" i="5" s="1"/>
  <c r="E20" i="5" s="1"/>
  <c r="B21" i="5" l="1"/>
  <c r="D21" i="5" s="1"/>
  <c r="E21" i="5" s="1"/>
  <c r="A22" i="5"/>
  <c r="F21" i="5"/>
  <c r="C21" i="5"/>
  <c r="D22" i="5" l="1"/>
  <c r="C22" i="5"/>
  <c r="B22" i="5"/>
  <c r="A23" i="5"/>
  <c r="F22" i="5"/>
  <c r="E22" i="5"/>
  <c r="F23" i="5" l="1"/>
  <c r="E23" i="5"/>
  <c r="D23" i="5"/>
  <c r="C23" i="5"/>
  <c r="B23" i="5"/>
  <c r="A24" i="5"/>
  <c r="C24" i="5" l="1"/>
  <c r="A25" i="5"/>
  <c r="F24" i="5"/>
  <c r="E24" i="5"/>
  <c r="D24" i="5"/>
  <c r="B24" i="5"/>
  <c r="B25" i="5" l="1"/>
  <c r="A26" i="5"/>
  <c r="E25" i="5"/>
  <c r="F25" i="5"/>
  <c r="D25" i="5"/>
  <c r="C25" i="5"/>
  <c r="D26" i="5" l="1"/>
  <c r="A27" i="5"/>
  <c r="C26" i="5"/>
  <c r="B26" i="5"/>
  <c r="F26" i="5"/>
  <c r="E26" i="5"/>
  <c r="F27" i="5" l="1"/>
  <c r="E27" i="5"/>
  <c r="D27" i="5"/>
  <c r="C27" i="5"/>
  <c r="B27" i="5"/>
  <c r="A28" i="5"/>
  <c r="A29" i="5" l="1"/>
  <c r="F28" i="5"/>
  <c r="C28" i="5"/>
  <c r="E28" i="5"/>
  <c r="D28" i="5"/>
  <c r="B28" i="5"/>
  <c r="B29" i="5" l="1"/>
  <c r="E29" i="5"/>
  <c r="A30" i="5"/>
  <c r="F29" i="5"/>
  <c r="D29" i="5"/>
  <c r="C29" i="5"/>
  <c r="D30" i="5" l="1"/>
  <c r="C30" i="5"/>
  <c r="B30" i="5"/>
  <c r="A31" i="5"/>
  <c r="F30" i="5"/>
  <c r="E30" i="5"/>
  <c r="F31" i="5" l="1"/>
  <c r="E31" i="5"/>
  <c r="D31" i="5"/>
  <c r="C31" i="5"/>
  <c r="B31" i="5"/>
</calcChain>
</file>

<file path=xl/sharedStrings.xml><?xml version="1.0" encoding="utf-8"?>
<sst xmlns="http://schemas.openxmlformats.org/spreadsheetml/2006/main" count="208" uniqueCount="169">
  <si>
    <t>DEFAULTS &amp; ASSUMPTIONS</t>
  </si>
  <si>
    <t>This sheet contains the default values used throughout the workbook.</t>
  </si>
  <si>
    <t>Parameter</t>
  </si>
  <si>
    <t>Default Value</t>
  </si>
  <si>
    <t>Notes</t>
  </si>
  <si>
    <t>Work-related labour rate ($/hr)</t>
  </si>
  <si>
    <t>Fully loaded cost including on-costs</t>
  </si>
  <si>
    <t>Non-work-related labour rate ($/hr)</t>
  </si>
  <si>
    <t>Opportunity cost of personal/citizen time</t>
  </si>
  <si>
    <t>Number of affected entities</t>
  </si>
  <si>
    <t>Override in Settings</t>
  </si>
  <si>
    <t>Staff per entity</t>
  </si>
  <si>
    <t>Default assumption</t>
  </si>
  <si>
    <t>Discount rate</t>
  </si>
  <si>
    <t>Real discount rate for NPV calculations</t>
  </si>
  <si>
    <t>Projection horizon (years)</t>
  </si>
  <si>
    <t>Number of years for NPV projection</t>
  </si>
  <si>
    <t>Web Form Defaults</t>
  </si>
  <si>
    <t>Minutes per form field</t>
  </si>
  <si>
    <t>Time to complete one field on a web form</t>
  </si>
  <si>
    <t>Number of form fields</t>
  </si>
  <si>
    <t>Total fields on the regulatory web form</t>
  </si>
  <si>
    <t>Tell Me Once fields (pre-existing data)</t>
  </si>
  <si>
    <t>Fields where data is already held by government</t>
  </si>
  <si>
    <t>Frequency Multipliers</t>
  </si>
  <si>
    <t>Monthly</t>
  </si>
  <si>
    <t>Times per year</t>
  </si>
  <si>
    <t>Quarterly</t>
  </si>
  <si>
    <t>Annually</t>
  </si>
  <si>
    <t>⚙️  SETTINGS — Common Values</t>
  </si>
  <si>
    <t>Enter your common values below. These are used throughout the Cost Calculator.</t>
  </si>
  <si>
    <t>Yellow cells are for your input. Grey cells show defaults from the Defaults sheet.</t>
  </si>
  <si>
    <t>GENERAL SETTINGS</t>
  </si>
  <si>
    <t>Setting</t>
  </si>
  <si>
    <t>Your Value</t>
  </si>
  <si>
    <t>Default</t>
  </si>
  <si>
    <t>Guidance</t>
  </si>
  <si>
    <t>How many regulated entities (businesses, organisations) are affected?</t>
  </si>
  <si>
    <t>Number of staff at each entity who will perform compliance tasks</t>
  </si>
  <si>
    <t>Fully loaded hourly cost of a compliance worker (incl. overheads)</t>
  </si>
  <si>
    <t>Non-work labour rate ($/hr)</t>
  </si>
  <si>
    <t>Opportunity cost of personal time (e.g. citizen filling out forms)</t>
  </si>
  <si>
    <t>Discount rate (%)</t>
  </si>
  <si>
    <t>Real discount rate used for NPV calculations</t>
  </si>
  <si>
    <t>How many years to project costs (default 10)</t>
  </si>
  <si>
    <t>WEB FORM SETTINGS</t>
  </si>
  <si>
    <t>How many data fields will your web form ask regulated entities to fill out?</t>
  </si>
  <si>
    <t>"Tell Me Once" fields (already held)</t>
  </si>
  <si>
    <t>Fields where government already has the data (no new burden)</t>
  </si>
  <si>
    <t>Estimated minutes to complete each field. Default 20 mins — relax if simpler fields.</t>
  </si>
  <si>
    <t>EFFECTIVE VALUES (used in calculations)</t>
  </si>
  <si>
    <t>Effective Value</t>
  </si>
  <si>
    <t>Source</t>
  </si>
  <si>
    <t>Entities</t>
  </si>
  <si>
    <t>Work labour rate ($/hr)</t>
  </si>
  <si>
    <t>Projection years</t>
  </si>
  <si>
    <t>Form fields</t>
  </si>
  <si>
    <t>Tell Me Once fields</t>
  </si>
  <si>
    <t>Minutes per field</t>
  </si>
  <si>
    <t>📋  REGULATORY COST CALCULATOR</t>
  </si>
  <si>
    <t>Fill in the yellow cells for each cost item. Leave blank to use the common values from the Settings sheet.</t>
  </si>
  <si>
    <t>🟡 = Your input    ⬜ = Calculated    🟢 = Subtotal / Total</t>
  </si>
  <si>
    <t>1. INTERNAL COMPLIANCE COSTS</t>
  </si>
  <si>
    <t>Costs incurred by regulated entities performing compliance activities internally (staff time, training, record-keeping).</t>
  </si>
  <si>
    <t>Cost Item</t>
  </si>
  <si>
    <t>Labour Cost
($/hr)</t>
  </si>
  <si>
    <t>Frequency
(times/yr)</t>
  </si>
  <si>
    <t>No. of
Entities</t>
  </si>
  <si>
    <t>Staff per
Entity</t>
  </si>
  <si>
    <t>Initial Cost
(Year 1)</t>
  </si>
  <si>
    <t>Ongoing Cost
(Year 2+)</t>
  </si>
  <si>
    <t>e.g. Training staff on new regulation</t>
  </si>
  <si>
    <t>Setup Hours
(one-off)</t>
  </si>
  <si>
    <t>Ongoing Hours
(per occasion)</t>
  </si>
  <si>
    <t>SUBTOTAL — Internal Compliance</t>
  </si>
  <si>
    <t>2. EXTERNAL COMPLIANCE COSTS</t>
  </si>
  <si>
    <t>Costs for purchasing external services, products or advice to meet compliance (e.g. audits, consultants, software).</t>
  </si>
  <si>
    <t>One-off
Purchase ($)</t>
  </si>
  <si>
    <t>Recurring
Purchase ($)</t>
  </si>
  <si>
    <t>Times
Purchased/yr</t>
  </si>
  <si>
    <t>e.g. External audit fee</t>
  </si>
  <si>
    <t>SUBTOTAL — External Compliance</t>
  </si>
  <si>
    <t>3. DELAY COSTS</t>
  </si>
  <si>
    <t>Costs incurred due to regulatory processing delays (standby expenses, lost income while waiting for approvals).</t>
  </si>
  <si>
    <t>Standby Cost
($/day)</t>
  </si>
  <si>
    <t>Lost Income
($/day)</t>
  </si>
  <si>
    <t>Days of
Delay</t>
  </si>
  <si>
    <t>e.g. Waiting for licence approval</t>
  </si>
  <si>
    <t>SUBTOTAL — Delay Costs</t>
  </si>
  <si>
    <t>4. REGULATORY CHARGES</t>
  </si>
  <si>
    <t>Direct fees, levies, and charges imposed by the regulator (licence fees, registration charges, penalties).</t>
  </si>
  <si>
    <t>One-off
Charge ($)</t>
  </si>
  <si>
    <t>Recurring
Charge ($)</t>
  </si>
  <si>
    <t>Times
Paid/yr</t>
  </si>
  <si>
    <t>e.g. Annual licence fee</t>
  </si>
  <si>
    <t>SUBTOTAL — Regulatory Charges</t>
  </si>
  <si>
    <t>5. WEB FORM BURDEN (Information Collection)</t>
  </si>
  <si>
    <t>Calculates the time and cost burden of completing your web form. Adjust form fields and "Tell Me Once" settings on the Settings sheet.</t>
  </si>
  <si>
    <t>Metric</t>
  </si>
  <si>
    <t>Calculation</t>
  </si>
  <si>
    <t>Total form fields</t>
  </si>
  <si>
    <t>Net new fields to complete</t>
  </si>
  <si>
    <t>Gross form burden (all fields)</t>
  </si>
  <si>
    <t>"Tell Me Once" savings</t>
  </si>
  <si>
    <t>NET NEW FORM BURDEN</t>
  </si>
  <si>
    <t>SUBTOTAL — Web Form Burden</t>
  </si>
  <si>
    <t>📊 GRAND TOTAL — ALL REGULATORY COSTS</t>
  </si>
  <si>
    <t>📈  NPV SUMMARY — Multi-Year Projection</t>
  </si>
  <si>
    <t>This sheet projects regulatory costs over your chosen horizon and calculates the Net Present Value (NPV).</t>
  </si>
  <si>
    <t>KEY PARAMETERS</t>
  </si>
  <si>
    <t>Value</t>
  </si>
  <si>
    <t>Year 1 total cost (Initial)</t>
  </si>
  <si>
    <t>Ongoing annual cost (Year 2+)</t>
  </si>
  <si>
    <t>YEAR-BY-YEAR PROJECTION</t>
  </si>
  <si>
    <t>Year</t>
  </si>
  <si>
    <t>Nominal Cost</t>
  </si>
  <si>
    <t>Discount Factor</t>
  </si>
  <si>
    <t>Present Value</t>
  </si>
  <si>
    <t>Cumulative PV</t>
  </si>
  <si>
    <t>Category</t>
  </si>
  <si>
    <t>Initial</t>
  </si>
  <si>
    <t>NET PRESENT VALUE (NPV)</t>
  </si>
  <si>
    <t>COST BREAKDOWN BY CATEGORY</t>
  </si>
  <si>
    <t>Initial (Yr 1)</t>
  </si>
  <si>
    <t>Ongoing (Yr 2+)</t>
  </si>
  <si>
    <t>1. Internal Compliance</t>
  </si>
  <si>
    <t>2. External Compliance</t>
  </si>
  <si>
    <t>3. Delay Costs</t>
  </si>
  <si>
    <t>4. Regulatory Charges</t>
  </si>
  <si>
    <t>5. Web Form Burden</t>
  </si>
  <si>
    <t>TOTAL</t>
  </si>
  <si>
    <t>% of Initial</t>
  </si>
  <si>
    <t>📖  REGULATORY COST CALCULATOR — README</t>
  </si>
  <si>
    <t>PURPOSE</t>
  </si>
  <si>
    <t>This workbook estimates the total regulatory cost burden imposed on affected entities by a new or existing regulation. It covers internal compliance, external compliance, delay costs, regulatory charges, and web form information collection burden.</t>
  </si>
  <si>
    <t>HOW TO USE THIS WORKBOOK</t>
  </si>
  <si>
    <t>Step 1 — Review Defaults</t>
  </si>
  <si>
    <t>Go to the Defaults sheet to see all assumed values (wage rates, discount rate, etc.).</t>
  </si>
  <si>
    <t>Step 2 — Enter Settings</t>
  </si>
  <si>
    <t>Go to the Settings sheet and enter your common values (number of entities, wage rate, discount rate). Leave blank to use defaults.</t>
  </si>
  <si>
    <t>Step 3 — Fill Cost Calculator</t>
  </si>
  <si>
    <t>Go to Cost Calculator and fill in yellow cells for each cost category. Name each cost item and enter quantities. Grey cells auto-populate from Settings.</t>
  </si>
  <si>
    <t>Step 4 — Review NPV Summary</t>
  </si>
  <si>
    <t>The NPV Summary sheet automatically projects costs over your chosen horizon and discounts them to present value.</t>
  </si>
  <si>
    <t>COLOUR GUIDE</t>
  </si>
  <si>
    <t>🟡  Yellow cells</t>
  </si>
  <si>
    <t>YOUR INPUT — Fill these in with your values. These are the fields you need to complete.</t>
  </si>
  <si>
    <t>⬜  Grey cells</t>
  </si>
  <si>
    <t>AUTO-POPULATED — Pulled from Settings/Defaults. You can override them in Settings.</t>
  </si>
  <si>
    <t>🟢  Green cells</t>
  </si>
  <si>
    <t>CALCULATED — Formulas that compute automatically. Do not edit.</t>
  </si>
  <si>
    <t>🟢  Dark green bars</t>
  </si>
  <si>
    <t>SUBTOTALS &amp; TOTALS — Summary rows for each section.</t>
  </si>
  <si>
    <t>🟦  Navy bars</t>
  </si>
  <si>
    <t>SECTION HEADERS — Category titles and grand totals.</t>
  </si>
  <si>
    <t>COST CATEGORIES</t>
  </si>
  <si>
    <t>Staff time costs: training, record-keeping, internal processes. Calculated as: Setup Hours (one-off) + Ongoing Hours × Frequency × Labour Rate × Entities × Staff.</t>
  </si>
  <si>
    <t>Purchased services: audits, legal advice, software, consultants. Calculated as: One-off purchase + Recurring cost × Frequency × Entities.</t>
  </si>
  <si>
    <t>Costs from regulatory processing delays: standby expenses + lost income, multiplied by days of delay × number of entities.</t>
  </si>
  <si>
    <t>Direct fees and levies: licence fees, registration charges, application fees. One-off + Recurring × Frequency × Entities.</t>
  </si>
  <si>
    <t>Time cost for entities to complete your web form. Shows gross burden, "Tell Me Once" savings (pre-existing data), and net new burden.</t>
  </si>
  <si>
    <t>INITIAL vs ONGOING COSTS</t>
  </si>
  <si>
    <t>Initial Cost (Year 1)</t>
  </si>
  <si>
    <t>Includes one-off setup/upfront costs PLUS the first year of recurring operating costs. This is the total cost in the first year.</t>
  </si>
  <si>
    <t>Ongoing Cost (Year 2+)</t>
  </si>
  <si>
    <t>Just the recurring annual operating costs — no setup costs. This repeats each year from Year 2 onward.</t>
  </si>
  <si>
    <t>KEY ASSUMPTIONS</t>
  </si>
  <si>
    <t>Defaults</t>
  </si>
  <si>
    <t>Work labour = $85/hr | Non-work labour = $37/hr | Discount rate = 7% | 20 min per form field | 1 entity, 1 staff per entity. All overridable in 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</si>
</sst>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0.0%"/>
    <numFmt numFmtId="166" formatCode="#,##0.0"/>
    <numFmt numFmtId="167" formatCode="&quot;$&quot;#,##0"/>
    <numFmt numFmtId="168" formatCode="&quot;$&quot;#,##0;\(&quot;$&quot;#,##0\);\-"/>
    <numFmt numFmtId="169" formatCode="0.0000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1"/>
      <color rgb="FF555555"/>
      <name val="Aptos Narrow"/>
      <family val="2"/>
      <scheme val="minor"/>
    </font>
    <font>
      <i/>
      <sz val="11"/>
      <color rgb="FF555555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777777"/>
      <name val="Aptos Narrow"/>
      <family val="2"/>
      <scheme val="minor"/>
    </font>
    <font>
      <sz val="9"/>
      <color rgb="FF555555"/>
      <name val="Aptos Narrow"/>
      <family val="2"/>
      <scheme val="minor"/>
    </font>
    <font>
      <i/>
      <sz val="11"/>
      <color rgb="FF888888"/>
      <name val="Aptos Narrow"/>
      <family val="2"/>
      <scheme val="minor"/>
    </font>
    <font>
      <i/>
      <sz val="10"/>
      <color rgb="FF555555"/>
      <name val="Aptos Narrow"/>
      <family val="2"/>
      <scheme val="minor"/>
    </font>
    <font>
      <i/>
      <sz val="10"/>
      <color rgb="FF88888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9"/>
      <color rgb="FF555555"/>
      <name val="Aptos Narrow"/>
      <family val="2"/>
      <scheme val="minor"/>
    </font>
    <font>
      <i/>
      <sz val="11"/>
      <color rgb="FFAAAAAA"/>
      <name val="Aptos Narrow"/>
      <family val="2"/>
      <scheme val="minor"/>
    </font>
    <font>
      <sz val="9"/>
      <color rgb="FF888888"/>
      <name val="Aptos Narrow"/>
      <family val="2"/>
      <scheme val="minor"/>
    </font>
    <font>
      <sz val="11"/>
      <color rgb="FF27AE6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1B4F7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27AE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7" fillId="0" borderId="0" xfId="0" applyFont="1"/>
    <xf numFmtId="0" fontId="7" fillId="5" borderId="0" xfId="0" applyFon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4" borderId="0" xfId="0" applyFill="1"/>
    <xf numFmtId="0" fontId="1" fillId="0" borderId="0" xfId="0" applyFont="1"/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0" fillId="7" borderId="0" xfId="0" applyFill="1"/>
    <xf numFmtId="3" fontId="0" fillId="7" borderId="0" xfId="0" applyNumberFormat="1" applyFill="1" applyAlignment="1">
      <alignment horizontal="center"/>
    </xf>
    <xf numFmtId="0" fontId="0" fillId="8" borderId="0" xfId="0" applyFill="1"/>
    <xf numFmtId="3" fontId="0" fillId="8" borderId="0" xfId="0" applyNumberFormat="1" applyFill="1" applyAlignment="1">
      <alignment horizontal="center"/>
    </xf>
    <xf numFmtId="0" fontId="8" fillId="0" borderId="0" xfId="0" applyFont="1"/>
    <xf numFmtId="0" fontId="8" fillId="5" borderId="0" xfId="0" applyFont="1" applyFill="1"/>
    <xf numFmtId="164" fontId="0" fillId="7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5" fontId="0" fillId="7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0" fontId="0" fillId="6" borderId="0" xfId="0" applyFill="1"/>
    <xf numFmtId="3" fontId="0" fillId="5" borderId="0" xfId="0" applyNumberFormat="1" applyFill="1" applyAlignment="1">
      <alignment horizontal="center"/>
    </xf>
    <xf numFmtId="0" fontId="9" fillId="5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2" borderId="0" xfId="0" applyFont="1" applyFill="1"/>
    <xf numFmtId="0" fontId="13" fillId="0" borderId="0" xfId="0" applyFont="1"/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center" wrapText="1"/>
    </xf>
    <xf numFmtId="0" fontId="14" fillId="7" borderId="0" xfId="0" applyFont="1" applyFill="1"/>
    <xf numFmtId="166" fontId="0" fillId="7" borderId="0" xfId="0" applyNumberFormat="1" applyFill="1" applyAlignment="1">
      <alignment horizontal="center"/>
    </xf>
    <xf numFmtId="0" fontId="0" fillId="9" borderId="0" xfId="0" applyFill="1"/>
    <xf numFmtId="167" fontId="0" fillId="9" borderId="0" xfId="0" applyNumberFormat="1" applyFill="1" applyAlignment="1">
      <alignment horizontal="center"/>
    </xf>
    <xf numFmtId="0" fontId="6" fillId="10" borderId="0" xfId="0" applyFont="1" applyFill="1"/>
    <xf numFmtId="0" fontId="0" fillId="10" borderId="0" xfId="0" applyFill="1"/>
    <xf numFmtId="167" fontId="6" fillId="10" borderId="0" xfId="0" applyNumberFormat="1" applyFont="1" applyFill="1" applyAlignment="1">
      <alignment horizontal="center"/>
    </xf>
    <xf numFmtId="167" fontId="0" fillId="7" borderId="0" xfId="0" applyNumberForma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6" fillId="5" borderId="0" xfId="0" applyFont="1" applyFill="1"/>
    <xf numFmtId="168" fontId="16" fillId="9" borderId="0" xfId="0" applyNumberFormat="1" applyFont="1" applyFill="1" applyAlignment="1">
      <alignment horizontal="center"/>
    </xf>
    <xf numFmtId="167" fontId="1" fillId="9" borderId="0" xfId="0" applyNumberFormat="1" applyFont="1" applyFill="1" applyAlignment="1">
      <alignment horizontal="center"/>
    </xf>
    <xf numFmtId="0" fontId="17" fillId="2" borderId="0" xfId="0" applyFont="1" applyFill="1"/>
    <xf numFmtId="167" fontId="17" fillId="2" borderId="0" xfId="0" applyNumberFormat="1" applyFon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69" fontId="0" fillId="5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6" fillId="10" borderId="0" xfId="0" applyNumberFormat="1" applyFont="1" applyFill="1" applyAlignment="1">
      <alignment horizontal="center"/>
    </xf>
    <xf numFmtId="0" fontId="18" fillId="2" borderId="0" xfId="0" applyFont="1" applyFill="1"/>
    <xf numFmtId="0" fontId="12" fillId="4" borderId="0" xfId="0" applyFont="1" applyFill="1"/>
    <xf numFmtId="0" fontId="19" fillId="0" borderId="0" xfId="0" applyFont="1"/>
    <xf numFmtId="0" fontId="20" fillId="0" borderId="0" xfId="0" applyFont="1"/>
    <xf numFmtId="0" fontId="20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2" fillId="10" borderId="0" xfId="0" applyFont="1" applyFill="1"/>
    <xf numFmtId="0" fontId="6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51C88A-55C1-4E5B-952B-890D158A5A28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BDB5-01E2-4D31-84B8-88F554032DFF}">
  <dimension ref="A1:B31"/>
  <sheetViews>
    <sheetView topLeftCell="A16" workbookViewId="0">
      <selection activeCell="B23" sqref="B23"/>
    </sheetView>
  </sheetViews>
  <sheetFormatPr defaultRowHeight="15" x14ac:dyDescent="0.25"/>
  <cols>
    <col min="1" max="1" width="36.42578125" customWidth="1"/>
    <col min="2" max="2" width="100" customWidth="1"/>
  </cols>
  <sheetData>
    <row r="1" spans="1:2" ht="21" x14ac:dyDescent="0.35">
      <c r="A1" s="63" t="s">
        <v>132</v>
      </c>
      <c r="B1" s="2"/>
    </row>
    <row r="2" spans="1:2" x14ac:dyDescent="0.25">
      <c r="A2" s="5"/>
      <c r="B2" s="5"/>
    </row>
    <row r="3" spans="1:2" ht="15.75" x14ac:dyDescent="0.25">
      <c r="A3" s="64" t="s">
        <v>133</v>
      </c>
      <c r="B3" s="16"/>
    </row>
    <row r="4" spans="1:2" x14ac:dyDescent="0.25">
      <c r="A4" s="65" t="s">
        <v>134</v>
      </c>
    </row>
    <row r="5" spans="1:2" x14ac:dyDescent="0.25">
      <c r="A5" s="5"/>
      <c r="B5" s="5"/>
    </row>
    <row r="6" spans="1:2" ht="15.75" x14ac:dyDescent="0.25">
      <c r="A6" s="64" t="s">
        <v>135</v>
      </c>
      <c r="B6" s="16"/>
    </row>
    <row r="7" spans="1:2" x14ac:dyDescent="0.25">
      <c r="A7" s="66" t="s">
        <v>136</v>
      </c>
      <c r="B7" t="s">
        <v>137</v>
      </c>
    </row>
    <row r="8" spans="1:2" x14ac:dyDescent="0.25">
      <c r="A8" s="66" t="s">
        <v>138</v>
      </c>
      <c r="B8" t="s">
        <v>139</v>
      </c>
    </row>
    <row r="9" spans="1:2" x14ac:dyDescent="0.25">
      <c r="A9" s="66" t="s">
        <v>140</v>
      </c>
      <c r="B9" t="s">
        <v>141</v>
      </c>
    </row>
    <row r="10" spans="1:2" x14ac:dyDescent="0.25">
      <c r="A10" s="66" t="s">
        <v>142</v>
      </c>
      <c r="B10" t="s">
        <v>143</v>
      </c>
    </row>
    <row r="11" spans="1:2" x14ac:dyDescent="0.25">
      <c r="A11" s="5"/>
      <c r="B11" s="5"/>
    </row>
    <row r="12" spans="1:2" ht="15.75" x14ac:dyDescent="0.25">
      <c r="A12" s="64" t="s">
        <v>144</v>
      </c>
      <c r="B12" s="16"/>
    </row>
    <row r="13" spans="1:2" x14ac:dyDescent="0.25">
      <c r="A13" s="67" t="s">
        <v>145</v>
      </c>
      <c r="B13" s="20" t="s">
        <v>146</v>
      </c>
    </row>
    <row r="14" spans="1:2" x14ac:dyDescent="0.25">
      <c r="A14" s="68" t="s">
        <v>147</v>
      </c>
      <c r="B14" s="22" t="s">
        <v>148</v>
      </c>
    </row>
    <row r="15" spans="1:2" x14ac:dyDescent="0.25">
      <c r="A15" s="69" t="s">
        <v>149</v>
      </c>
      <c r="B15" s="43" t="s">
        <v>150</v>
      </c>
    </row>
    <row r="16" spans="1:2" x14ac:dyDescent="0.25">
      <c r="A16" s="45" t="s">
        <v>151</v>
      </c>
      <c r="B16" s="70" t="s">
        <v>152</v>
      </c>
    </row>
    <row r="17" spans="1:2" x14ac:dyDescent="0.25">
      <c r="A17" s="71" t="s">
        <v>153</v>
      </c>
      <c r="B17" s="72" t="s">
        <v>154</v>
      </c>
    </row>
    <row r="18" spans="1:2" x14ac:dyDescent="0.25">
      <c r="A18" s="5"/>
      <c r="B18" s="5"/>
    </row>
    <row r="19" spans="1:2" ht="15.75" x14ac:dyDescent="0.25">
      <c r="A19" s="64" t="s">
        <v>155</v>
      </c>
      <c r="B19" s="16"/>
    </row>
    <row r="20" spans="1:2" x14ac:dyDescent="0.25">
      <c r="A20" s="66" t="s">
        <v>125</v>
      </c>
      <c r="B20" t="s">
        <v>156</v>
      </c>
    </row>
    <row r="21" spans="1:2" x14ac:dyDescent="0.25">
      <c r="A21" s="66" t="s">
        <v>126</v>
      </c>
      <c r="B21" t="s">
        <v>157</v>
      </c>
    </row>
    <row r="22" spans="1:2" x14ac:dyDescent="0.25">
      <c r="A22" s="66" t="s">
        <v>127</v>
      </c>
      <c r="B22" t="s">
        <v>158</v>
      </c>
    </row>
    <row r="23" spans="1:2" x14ac:dyDescent="0.25">
      <c r="A23" s="66" t="s">
        <v>128</v>
      </c>
      <c r="B23" t="s">
        <v>159</v>
      </c>
    </row>
    <row r="24" spans="1:2" x14ac:dyDescent="0.25">
      <c r="A24" s="66" t="s">
        <v>129</v>
      </c>
      <c r="B24" t="s">
        <v>160</v>
      </c>
    </row>
    <row r="25" spans="1:2" x14ac:dyDescent="0.25">
      <c r="A25" s="5"/>
      <c r="B25" s="5"/>
    </row>
    <row r="26" spans="1:2" ht="15.75" x14ac:dyDescent="0.25">
      <c r="A26" s="64" t="s">
        <v>161</v>
      </c>
      <c r="B26" s="16"/>
    </row>
    <row r="27" spans="1:2" x14ac:dyDescent="0.25">
      <c r="A27" s="66" t="s">
        <v>162</v>
      </c>
      <c r="B27" t="s">
        <v>163</v>
      </c>
    </row>
    <row r="28" spans="1:2" x14ac:dyDescent="0.25">
      <c r="A28" s="66" t="s">
        <v>164</v>
      </c>
      <c r="B28" t="s">
        <v>165</v>
      </c>
    </row>
    <row r="29" spans="1:2" x14ac:dyDescent="0.25">
      <c r="A29" s="5"/>
      <c r="B29" s="5"/>
    </row>
    <row r="30" spans="1:2" ht="15.75" x14ac:dyDescent="0.25">
      <c r="A30" s="64" t="s">
        <v>166</v>
      </c>
      <c r="B30" s="16"/>
    </row>
    <row r="31" spans="1:2" x14ac:dyDescent="0.25">
      <c r="A31" s="66" t="s">
        <v>167</v>
      </c>
      <c r="B31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D258-459B-4AD4-A1C2-370A051CF399}">
  <dimension ref="A1:D30"/>
  <sheetViews>
    <sheetView tabSelected="1" topLeftCell="A18" workbookViewId="0">
      <selection activeCell="B36" sqref="B36"/>
    </sheetView>
  </sheetViews>
  <sheetFormatPr defaultRowHeight="15" x14ac:dyDescent="0.25"/>
  <cols>
    <col min="1" max="1" width="50.85546875" customWidth="1"/>
    <col min="2" max="3" width="21.85546875" customWidth="1"/>
    <col min="4" max="4" width="65.42578125" customWidth="1"/>
  </cols>
  <sheetData>
    <row r="1" spans="1:4" ht="18.75" x14ac:dyDescent="0.3">
      <c r="A1" s="1" t="s">
        <v>29</v>
      </c>
      <c r="B1" s="2"/>
      <c r="C1" s="2"/>
      <c r="D1" s="2"/>
    </row>
    <row r="2" spans="1:4" x14ac:dyDescent="0.25">
      <c r="A2" s="4" t="s">
        <v>30</v>
      </c>
    </row>
    <row r="3" spans="1:4" x14ac:dyDescent="0.25">
      <c r="A3" s="4" t="s">
        <v>31</v>
      </c>
    </row>
    <row r="5" spans="1:4" x14ac:dyDescent="0.25">
      <c r="A5" s="6" t="s">
        <v>32</v>
      </c>
      <c r="B5" s="16"/>
      <c r="C5" s="16"/>
      <c r="D5" s="16"/>
    </row>
    <row r="6" spans="1:4" x14ac:dyDescent="0.25">
      <c r="A6" s="18" t="s">
        <v>33</v>
      </c>
      <c r="B6" s="19" t="s">
        <v>34</v>
      </c>
      <c r="C6" s="19" t="s">
        <v>35</v>
      </c>
      <c r="D6" s="18" t="s">
        <v>36</v>
      </c>
    </row>
    <row r="7" spans="1:4" x14ac:dyDescent="0.25">
      <c r="A7" s="8" t="s">
        <v>9</v>
      </c>
      <c r="B7" s="21"/>
      <c r="C7" s="23">
        <f>Defaults!B7</f>
        <v>1</v>
      </c>
      <c r="D7" s="25" t="s">
        <v>37</v>
      </c>
    </row>
    <row r="8" spans="1:4" x14ac:dyDescent="0.25">
      <c r="A8" t="s">
        <v>11</v>
      </c>
      <c r="B8" s="21"/>
      <c r="C8" s="23">
        <f>Defaults!B8</f>
        <v>1</v>
      </c>
      <c r="D8" s="24" t="s">
        <v>38</v>
      </c>
    </row>
    <row r="9" spans="1:4" x14ac:dyDescent="0.25">
      <c r="A9" s="8" t="s">
        <v>5</v>
      </c>
      <c r="B9" s="26"/>
      <c r="C9" s="27">
        <f>Defaults!B5</f>
        <v>85</v>
      </c>
      <c r="D9" s="25" t="s">
        <v>39</v>
      </c>
    </row>
    <row r="10" spans="1:4" x14ac:dyDescent="0.25">
      <c r="A10" t="s">
        <v>40</v>
      </c>
      <c r="B10" s="26"/>
      <c r="C10" s="27">
        <f>Defaults!B6</f>
        <v>37</v>
      </c>
      <c r="D10" s="24" t="s">
        <v>41</v>
      </c>
    </row>
    <row r="11" spans="1:4" x14ac:dyDescent="0.25">
      <c r="A11" s="8" t="s">
        <v>42</v>
      </c>
      <c r="B11" s="28"/>
      <c r="C11" s="29">
        <f>Defaults!B9</f>
        <v>7.0000000000000007E-2</v>
      </c>
      <c r="D11" s="25" t="s">
        <v>43</v>
      </c>
    </row>
    <row r="12" spans="1:4" x14ac:dyDescent="0.25">
      <c r="A12" t="s">
        <v>15</v>
      </c>
      <c r="B12" s="21"/>
      <c r="C12" s="23">
        <f>Defaults!B10</f>
        <v>10</v>
      </c>
      <c r="D12" s="24" t="s">
        <v>44</v>
      </c>
    </row>
    <row r="13" spans="1:4" x14ac:dyDescent="0.25">
      <c r="A13" s="5"/>
      <c r="B13" s="5"/>
      <c r="C13" s="5"/>
      <c r="D13" s="5"/>
    </row>
    <row r="14" spans="1:4" x14ac:dyDescent="0.25">
      <c r="A14" s="6" t="s">
        <v>45</v>
      </c>
      <c r="B14" s="16"/>
      <c r="C14" s="16"/>
      <c r="D14" s="16"/>
    </row>
    <row r="15" spans="1:4" x14ac:dyDescent="0.25">
      <c r="A15" s="18" t="s">
        <v>33</v>
      </c>
      <c r="B15" s="19" t="s">
        <v>34</v>
      </c>
      <c r="C15" s="19" t="s">
        <v>35</v>
      </c>
      <c r="D15" s="18" t="s">
        <v>36</v>
      </c>
    </row>
    <row r="16" spans="1:4" x14ac:dyDescent="0.25">
      <c r="A16" s="8" t="s">
        <v>20</v>
      </c>
      <c r="B16" s="21"/>
      <c r="C16" s="23">
        <f>Defaults!B14</f>
        <v>10</v>
      </c>
      <c r="D16" s="25" t="s">
        <v>46</v>
      </c>
    </row>
    <row r="17" spans="1:4" x14ac:dyDescent="0.25">
      <c r="A17" t="s">
        <v>47</v>
      </c>
      <c r="B17" s="21"/>
      <c r="C17" s="23">
        <f>Defaults!B15</f>
        <v>0</v>
      </c>
      <c r="D17" s="24" t="s">
        <v>48</v>
      </c>
    </row>
    <row r="18" spans="1:4" x14ac:dyDescent="0.25">
      <c r="A18" s="8" t="s">
        <v>18</v>
      </c>
      <c r="B18" s="21"/>
      <c r="C18" s="23">
        <f>Defaults!B13</f>
        <v>20</v>
      </c>
      <c r="D18" s="25" t="s">
        <v>49</v>
      </c>
    </row>
    <row r="20" spans="1:4" x14ac:dyDescent="0.25">
      <c r="A20" s="6" t="s">
        <v>50</v>
      </c>
      <c r="B20" s="16"/>
      <c r="C20" s="16"/>
      <c r="D20" s="16"/>
    </row>
    <row r="21" spans="1:4" x14ac:dyDescent="0.25">
      <c r="A21" s="18" t="s">
        <v>33</v>
      </c>
      <c r="B21" s="19" t="s">
        <v>51</v>
      </c>
      <c r="C21" s="19" t="s">
        <v>52</v>
      </c>
      <c r="D21" s="30"/>
    </row>
    <row r="22" spans="1:4" x14ac:dyDescent="0.25">
      <c r="A22" s="8" t="s">
        <v>53</v>
      </c>
      <c r="B22" s="31">
        <f t="shared" ref="B22:B27" si="0">IF(B7="",C7,B7)</f>
        <v>1</v>
      </c>
      <c r="C22" s="32" t="str">
        <f t="shared" ref="C22:C27" si="1">IF(B7="","Default","User")</f>
        <v>Default</v>
      </c>
      <c r="D22" s="8"/>
    </row>
    <row r="23" spans="1:4" x14ac:dyDescent="0.25">
      <c r="A23" t="s">
        <v>11</v>
      </c>
      <c r="B23" s="33">
        <f t="shared" si="0"/>
        <v>1</v>
      </c>
      <c r="C23" s="34" t="str">
        <f t="shared" si="1"/>
        <v>Default</v>
      </c>
    </row>
    <row r="24" spans="1:4" x14ac:dyDescent="0.25">
      <c r="A24" s="8" t="s">
        <v>54</v>
      </c>
      <c r="B24" s="10">
        <f t="shared" si="0"/>
        <v>85</v>
      </c>
      <c r="C24" s="32" t="str">
        <f t="shared" si="1"/>
        <v>Default</v>
      </c>
      <c r="D24" s="8"/>
    </row>
    <row r="25" spans="1:4" x14ac:dyDescent="0.25">
      <c r="A25" t="s">
        <v>40</v>
      </c>
      <c r="B25" s="14">
        <f t="shared" si="0"/>
        <v>37</v>
      </c>
      <c r="C25" s="34" t="str">
        <f t="shared" si="1"/>
        <v>Default</v>
      </c>
    </row>
    <row r="26" spans="1:4" x14ac:dyDescent="0.25">
      <c r="A26" s="8" t="s">
        <v>13</v>
      </c>
      <c r="B26" s="15">
        <f t="shared" si="0"/>
        <v>7.0000000000000007E-2</v>
      </c>
      <c r="C26" s="32" t="str">
        <f t="shared" si="1"/>
        <v>Default</v>
      </c>
      <c r="D26" s="8"/>
    </row>
    <row r="27" spans="1:4" x14ac:dyDescent="0.25">
      <c r="A27" t="s">
        <v>55</v>
      </c>
      <c r="B27" s="33">
        <f t="shared" si="0"/>
        <v>10</v>
      </c>
      <c r="C27" s="34" t="str">
        <f t="shared" si="1"/>
        <v>Default</v>
      </c>
    </row>
    <row r="28" spans="1:4" x14ac:dyDescent="0.25">
      <c r="A28" s="8" t="s">
        <v>56</v>
      </c>
      <c r="B28" s="31">
        <f>IF(B16="",C16,B16)</f>
        <v>10</v>
      </c>
      <c r="C28" s="32" t="str">
        <f>IF(B16="","Default","User")</f>
        <v>Default</v>
      </c>
      <c r="D28" s="8"/>
    </row>
    <row r="29" spans="1:4" x14ac:dyDescent="0.25">
      <c r="A29" t="s">
        <v>57</v>
      </c>
      <c r="B29" s="33">
        <f>IF(B17="",C17,B17)</f>
        <v>0</v>
      </c>
      <c r="C29" s="34" t="str">
        <f>IF(B17="","Default","User")</f>
        <v>Default</v>
      </c>
    </row>
    <row r="30" spans="1:4" x14ac:dyDescent="0.25">
      <c r="A30" s="8" t="s">
        <v>58</v>
      </c>
      <c r="B30" s="31">
        <f>IF(B18="",C18,B18)</f>
        <v>20</v>
      </c>
      <c r="C30" s="32" t="str">
        <f>IF(B18="","Default","User")</f>
        <v>Default</v>
      </c>
      <c r="D3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1118-1C56-4E0D-89F7-55FC88CA78A3}">
  <dimension ref="A1:I57"/>
  <sheetViews>
    <sheetView workbookViewId="0">
      <pane ySplit="4" topLeftCell="A56" activePane="bottomLeft" state="frozen"/>
      <selection pane="bottomLeft" activeCell="A70" sqref="A70"/>
    </sheetView>
  </sheetViews>
  <sheetFormatPr defaultRowHeight="15" x14ac:dyDescent="0.25"/>
  <cols>
    <col min="1" max="1" width="50.85546875" customWidth="1"/>
    <col min="2" max="7" width="18.140625" customWidth="1"/>
    <col min="8" max="9" width="21.85546875" customWidth="1"/>
  </cols>
  <sheetData>
    <row r="1" spans="1:9" ht="18.75" x14ac:dyDescent="0.3">
      <c r="A1" s="1" t="s">
        <v>59</v>
      </c>
      <c r="B1" s="2"/>
      <c r="C1" s="2"/>
      <c r="D1" s="2"/>
      <c r="E1" s="2"/>
      <c r="F1" s="2"/>
      <c r="G1" s="2"/>
      <c r="H1" s="2"/>
    </row>
    <row r="2" spans="1:9" x14ac:dyDescent="0.25">
      <c r="A2" s="35" t="s">
        <v>60</v>
      </c>
    </row>
    <row r="3" spans="1:9" x14ac:dyDescent="0.25">
      <c r="A3" s="36" t="s">
        <v>61</v>
      </c>
    </row>
    <row r="4" spans="1:9" x14ac:dyDescent="0.25">
      <c r="A4" s="5"/>
      <c r="B4" s="5"/>
      <c r="C4" s="5"/>
      <c r="D4" s="5"/>
      <c r="E4" s="5"/>
      <c r="F4" s="5"/>
      <c r="G4" s="5"/>
      <c r="H4" s="5"/>
    </row>
    <row r="5" spans="1:9" ht="15.75" x14ac:dyDescent="0.25">
      <c r="A5" s="37" t="s">
        <v>62</v>
      </c>
      <c r="B5" s="2"/>
      <c r="C5" s="2"/>
      <c r="D5" s="2"/>
      <c r="E5" s="2"/>
      <c r="F5" s="2"/>
      <c r="G5" s="2"/>
      <c r="H5" s="2"/>
    </row>
    <row r="6" spans="1:9" x14ac:dyDescent="0.25">
      <c r="A6" s="38" t="s">
        <v>63</v>
      </c>
    </row>
    <row r="7" spans="1:9" ht="35.1" customHeight="1" x14ac:dyDescent="0.25">
      <c r="A7" s="39" t="s">
        <v>64</v>
      </c>
      <c r="B7" s="40" t="s">
        <v>72</v>
      </c>
      <c r="C7" s="40" t="s">
        <v>73</v>
      </c>
      <c r="D7" s="40" t="s">
        <v>65</v>
      </c>
      <c r="E7" s="40" t="s">
        <v>66</v>
      </c>
      <c r="F7" s="40" t="s">
        <v>67</v>
      </c>
      <c r="G7" s="40" t="s">
        <v>68</v>
      </c>
      <c r="H7" s="40" t="s">
        <v>69</v>
      </c>
      <c r="I7" s="40" t="s">
        <v>70</v>
      </c>
    </row>
    <row r="8" spans="1:9" x14ac:dyDescent="0.25">
      <c r="A8" s="41" t="s">
        <v>71</v>
      </c>
      <c r="B8" s="42"/>
      <c r="C8" s="42"/>
      <c r="D8" s="27">
        <f>Settings!B24</f>
        <v>85</v>
      </c>
      <c r="E8" s="21"/>
      <c r="F8" s="23">
        <f>Settings!B22</f>
        <v>1</v>
      </c>
      <c r="G8" s="23">
        <f>Settings!B23</f>
        <v>1</v>
      </c>
      <c r="H8" s="44">
        <f>IF(AND(B8="",C8=""),0,(IF(B8="",0,B8)*D8*F8*G8)+(IF(C8="",0,C8)*D8*E8*F8*G8))</f>
        <v>0</v>
      </c>
      <c r="I8" s="44">
        <f>IF(C8="",0,C8*D8*E8*F8*G8)</f>
        <v>0</v>
      </c>
    </row>
    <row r="9" spans="1:9" x14ac:dyDescent="0.25">
      <c r="A9" s="20"/>
      <c r="B9" s="42"/>
      <c r="C9" s="42"/>
      <c r="D9" s="27">
        <f>Settings!B24</f>
        <v>85</v>
      </c>
      <c r="E9" s="21"/>
      <c r="F9" s="23">
        <f>Settings!B22</f>
        <v>1</v>
      </c>
      <c r="G9" s="23">
        <f>Settings!B23</f>
        <v>1</v>
      </c>
      <c r="H9" s="44">
        <f>IF(AND(B9="",C9=""),0,(IF(B9="",0,B9)*D9*F9*G9)+(IF(C9="",0,C9)*D9*E9*F9*G9))</f>
        <v>0</v>
      </c>
      <c r="I9" s="44">
        <f>IF(C9="",0,C9*D9*E9*F9*G9)</f>
        <v>0</v>
      </c>
    </row>
    <row r="10" spans="1:9" x14ac:dyDescent="0.25">
      <c r="A10" s="20"/>
      <c r="B10" s="42"/>
      <c r="C10" s="42"/>
      <c r="D10" s="27">
        <f>Settings!B24</f>
        <v>85</v>
      </c>
      <c r="E10" s="21"/>
      <c r="F10" s="23">
        <f>Settings!B22</f>
        <v>1</v>
      </c>
      <c r="G10" s="23">
        <f>Settings!B23</f>
        <v>1</v>
      </c>
      <c r="H10" s="44">
        <f>IF(AND(B10="",C10=""),0,(IF(B10="",0,B10)*D10*F10*G10)+(IF(C10="",0,C10)*D10*E10*F10*G10))</f>
        <v>0</v>
      </c>
      <c r="I10" s="44">
        <f>IF(C10="",0,C10*D10*E10*F10*G10)</f>
        <v>0</v>
      </c>
    </row>
    <row r="11" spans="1:9" x14ac:dyDescent="0.25">
      <c r="A11" s="20"/>
      <c r="B11" s="42"/>
      <c r="C11" s="42"/>
      <c r="D11" s="27">
        <f>Settings!B24</f>
        <v>85</v>
      </c>
      <c r="E11" s="21"/>
      <c r="F11" s="23">
        <f>Settings!B22</f>
        <v>1</v>
      </c>
      <c r="G11" s="23">
        <f>Settings!B23</f>
        <v>1</v>
      </c>
      <c r="H11" s="44">
        <f>IF(AND(B11="",C11=""),0,(IF(B11="",0,B11)*D11*F11*G11)+(IF(C11="",0,C11)*D11*E11*F11*G11))</f>
        <v>0</v>
      </c>
      <c r="I11" s="44">
        <f>IF(C11="",0,C11*D11*E11*F11*G11)</f>
        <v>0</v>
      </c>
    </row>
    <row r="12" spans="1:9" x14ac:dyDescent="0.25">
      <c r="A12" s="20"/>
      <c r="B12" s="42"/>
      <c r="C12" s="42"/>
      <c r="D12" s="27">
        <f>Settings!B24</f>
        <v>85</v>
      </c>
      <c r="E12" s="21"/>
      <c r="F12" s="23">
        <f>Settings!B22</f>
        <v>1</v>
      </c>
      <c r="G12" s="23">
        <f>Settings!B23</f>
        <v>1</v>
      </c>
      <c r="H12" s="44">
        <f>IF(AND(B12="",C12=""),0,(IF(B12="",0,B12)*D12*F12*G12)+(IF(C12="",0,C12)*D12*E12*F12*G12))</f>
        <v>0</v>
      </c>
      <c r="I12" s="44">
        <f>IF(C12="",0,C12*D12*E12*F12*G12)</f>
        <v>0</v>
      </c>
    </row>
    <row r="13" spans="1:9" x14ac:dyDescent="0.25">
      <c r="A13" s="45" t="s">
        <v>74</v>
      </c>
      <c r="B13" s="46"/>
      <c r="C13" s="46"/>
      <c r="D13" s="46"/>
      <c r="E13" s="46"/>
      <c r="F13" s="46"/>
      <c r="G13" s="46"/>
      <c r="H13" s="47">
        <f>SUM(H8:H12)</f>
        <v>0</v>
      </c>
      <c r="I13" s="47">
        <f>SUM(I8:I12)</f>
        <v>0</v>
      </c>
    </row>
    <row r="14" spans="1:9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9" ht="15.75" x14ac:dyDescent="0.25">
      <c r="A15" s="37" t="s">
        <v>75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38" t="s">
        <v>76</v>
      </c>
    </row>
    <row r="17" spans="1:9" ht="35.1" customHeight="1" x14ac:dyDescent="0.25">
      <c r="A17" s="39" t="s">
        <v>64</v>
      </c>
      <c r="B17" s="40" t="s">
        <v>77</v>
      </c>
      <c r="C17" s="40" t="s">
        <v>78</v>
      </c>
      <c r="D17" s="40" t="s">
        <v>79</v>
      </c>
      <c r="E17" s="40" t="s">
        <v>67</v>
      </c>
      <c r="F17" s="30"/>
      <c r="G17" s="30"/>
      <c r="H17" s="40" t="s">
        <v>69</v>
      </c>
      <c r="I17" s="40" t="s">
        <v>70</v>
      </c>
    </row>
    <row r="18" spans="1:9" x14ac:dyDescent="0.25">
      <c r="A18" s="41" t="s">
        <v>80</v>
      </c>
      <c r="B18" s="48"/>
      <c r="C18" s="48"/>
      <c r="D18" s="21"/>
      <c r="E18" s="23">
        <f>Settings!B22</f>
        <v>1</v>
      </c>
      <c r="F18" s="30"/>
      <c r="G18" s="30"/>
      <c r="H18" s="44">
        <f>IF(AND(B18="",C18=""),0,(IF(B18="",0,B18)*E18)+(IF(C18="",0,C18)*D18*E18))</f>
        <v>0</v>
      </c>
      <c r="I18" s="44">
        <f>IF(C18="",0,C18*D18*E18)</f>
        <v>0</v>
      </c>
    </row>
    <row r="19" spans="1:9" x14ac:dyDescent="0.25">
      <c r="A19" s="20"/>
      <c r="B19" s="48"/>
      <c r="C19" s="48"/>
      <c r="D19" s="21"/>
      <c r="E19" s="23">
        <f>Settings!B22</f>
        <v>1</v>
      </c>
      <c r="F19" s="30"/>
      <c r="G19" s="30"/>
      <c r="H19" s="44">
        <f>IF(AND(B19="",C19=""),0,(IF(B19="",0,B19)*E19)+(IF(C19="",0,C19)*D19*E19))</f>
        <v>0</v>
      </c>
      <c r="I19" s="44">
        <f>IF(C19="",0,C19*D19*E19)</f>
        <v>0</v>
      </c>
    </row>
    <row r="20" spans="1:9" x14ac:dyDescent="0.25">
      <c r="A20" s="20"/>
      <c r="B20" s="48"/>
      <c r="C20" s="48"/>
      <c r="D20" s="21"/>
      <c r="E20" s="23">
        <f>Settings!B22</f>
        <v>1</v>
      </c>
      <c r="F20" s="30"/>
      <c r="G20" s="30"/>
      <c r="H20" s="44">
        <f>IF(AND(B20="",C20=""),0,(IF(B20="",0,B20)*E20)+(IF(C20="",0,C20)*D20*E20))</f>
        <v>0</v>
      </c>
      <c r="I20" s="44">
        <f>IF(C20="",0,C20*D20*E20)</f>
        <v>0</v>
      </c>
    </row>
    <row r="21" spans="1:9" x14ac:dyDescent="0.25">
      <c r="A21" s="20"/>
      <c r="B21" s="48"/>
      <c r="C21" s="48"/>
      <c r="D21" s="21"/>
      <c r="E21" s="23">
        <f>Settings!B22</f>
        <v>1</v>
      </c>
      <c r="F21" s="30"/>
      <c r="G21" s="30"/>
      <c r="H21" s="44">
        <f>IF(AND(B21="",C21=""),0,(IF(B21="",0,B21)*E21)+(IF(C21="",0,C21)*D21*E21))</f>
        <v>0</v>
      </c>
      <c r="I21" s="44">
        <f>IF(C21="",0,C21*D21*E21)</f>
        <v>0</v>
      </c>
    </row>
    <row r="22" spans="1:9" x14ac:dyDescent="0.25">
      <c r="A22" s="20"/>
      <c r="B22" s="48"/>
      <c r="C22" s="48"/>
      <c r="D22" s="21"/>
      <c r="E22" s="23">
        <f>Settings!B22</f>
        <v>1</v>
      </c>
      <c r="F22" s="30"/>
      <c r="G22" s="30"/>
      <c r="H22" s="44">
        <f>IF(AND(B22="",C22=""),0,(IF(B22="",0,B22)*E22)+(IF(C22="",0,C22)*D22*E22))</f>
        <v>0</v>
      </c>
      <c r="I22" s="44">
        <f>IF(C22="",0,C22*D22*E22)</f>
        <v>0</v>
      </c>
    </row>
    <row r="23" spans="1:9" x14ac:dyDescent="0.25">
      <c r="A23" s="45" t="s">
        <v>81</v>
      </c>
      <c r="B23" s="46"/>
      <c r="C23" s="46"/>
      <c r="D23" s="46"/>
      <c r="E23" s="46"/>
      <c r="F23" s="46"/>
      <c r="G23" s="46"/>
      <c r="H23" s="47">
        <f>SUM(H18:H22)</f>
        <v>0</v>
      </c>
      <c r="I23" s="47">
        <f>SUM(I18:I22)</f>
        <v>0</v>
      </c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ht="15.75" x14ac:dyDescent="0.25">
      <c r="A25" s="37" t="s">
        <v>82</v>
      </c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38" t="s">
        <v>83</v>
      </c>
    </row>
    <row r="27" spans="1:9" ht="35.1" customHeight="1" x14ac:dyDescent="0.25">
      <c r="A27" s="39" t="s">
        <v>64</v>
      </c>
      <c r="B27" s="40" t="s">
        <v>84</v>
      </c>
      <c r="C27" s="40" t="s">
        <v>85</v>
      </c>
      <c r="D27" s="40" t="s">
        <v>86</v>
      </c>
      <c r="E27" s="40" t="s">
        <v>67</v>
      </c>
      <c r="F27" s="40" t="s">
        <v>66</v>
      </c>
      <c r="G27" s="30"/>
      <c r="H27" s="40" t="s">
        <v>69</v>
      </c>
      <c r="I27" s="40" t="s">
        <v>70</v>
      </c>
    </row>
    <row r="28" spans="1:9" x14ac:dyDescent="0.25">
      <c r="A28" s="41" t="s">
        <v>87</v>
      </c>
      <c r="B28" s="48"/>
      <c r="C28" s="48"/>
      <c r="D28" s="21"/>
      <c r="E28" s="23">
        <f>Settings!B22</f>
        <v>1</v>
      </c>
      <c r="F28" s="21"/>
      <c r="G28" s="30"/>
      <c r="H28" s="44">
        <f>IF(AND(B28="",C28=""),0,(IF(B28="",0,B28)+IF(C28="",0,C28))*D28*E28*IF(F28="",1,F28))</f>
        <v>0</v>
      </c>
      <c r="I28" s="44">
        <f>IF(AND(B28="",C28=""),0,(IF(B28="",0,B28)+IF(C28="",0,C28))*D28*E28*IF(F28="",1,F28))</f>
        <v>0</v>
      </c>
    </row>
    <row r="29" spans="1:9" x14ac:dyDescent="0.25">
      <c r="A29" s="20"/>
      <c r="B29" s="48"/>
      <c r="C29" s="48"/>
      <c r="D29" s="21"/>
      <c r="E29" s="23">
        <f>Settings!B22</f>
        <v>1</v>
      </c>
      <c r="F29" s="21"/>
      <c r="G29" s="30"/>
      <c r="H29" s="44">
        <f>IF(AND(B29="",C29=""),0,(IF(B29="",0,B29)+IF(C29="",0,C29))*D29*E29*IF(F29="",1,F29))</f>
        <v>0</v>
      </c>
      <c r="I29" s="44">
        <f>IF(AND(B29="",C29=""),0,(IF(B29="",0,B29)+IF(C29="",0,C29))*D29*E29*IF(F29="",1,F29))</f>
        <v>0</v>
      </c>
    </row>
    <row r="30" spans="1:9" x14ac:dyDescent="0.25">
      <c r="A30" s="20"/>
      <c r="B30" s="48"/>
      <c r="C30" s="48"/>
      <c r="D30" s="21"/>
      <c r="E30" s="23">
        <f>Settings!B22</f>
        <v>1</v>
      </c>
      <c r="F30" s="21"/>
      <c r="G30" s="30"/>
      <c r="H30" s="44">
        <f>IF(AND(B30="",C30=""),0,(IF(B30="",0,B30)+IF(C30="",0,C30))*D30*E30*IF(F30="",1,F30))</f>
        <v>0</v>
      </c>
      <c r="I30" s="44">
        <f>IF(AND(B30="",C30=""),0,(IF(B30="",0,B30)+IF(C30="",0,C30))*D30*E30*IF(F30="",1,F30))</f>
        <v>0</v>
      </c>
    </row>
    <row r="31" spans="1:9" x14ac:dyDescent="0.25">
      <c r="A31" s="20"/>
      <c r="B31" s="48"/>
      <c r="C31" s="48"/>
      <c r="D31" s="21"/>
      <c r="E31" s="23">
        <f>Settings!B22</f>
        <v>1</v>
      </c>
      <c r="F31" s="21"/>
      <c r="G31" s="30"/>
      <c r="H31" s="44">
        <f>IF(AND(B31="",C31=""),0,(IF(B31="",0,B31)+IF(C31="",0,C31))*D31*E31*IF(F31="",1,F31))</f>
        <v>0</v>
      </c>
      <c r="I31" s="44">
        <f>IF(AND(B31="",C31=""),0,(IF(B31="",0,B31)+IF(C31="",0,C31))*D31*E31*IF(F31="",1,F31))</f>
        <v>0</v>
      </c>
    </row>
    <row r="32" spans="1:9" x14ac:dyDescent="0.25">
      <c r="A32" s="20"/>
      <c r="B32" s="48"/>
      <c r="C32" s="48"/>
      <c r="D32" s="21"/>
      <c r="E32" s="23">
        <f>Settings!B22</f>
        <v>1</v>
      </c>
      <c r="F32" s="21"/>
      <c r="G32" s="30"/>
      <c r="H32" s="44">
        <f>IF(AND(B32="",C32=""),0,(IF(B32="",0,B32)+IF(C32="",0,C32))*D32*E32*IF(F32="",1,F32))</f>
        <v>0</v>
      </c>
      <c r="I32" s="44">
        <f>IF(AND(B32="",C32=""),0,(IF(B32="",0,B32)+IF(C32="",0,C32))*D32*E32*IF(F32="",1,F32))</f>
        <v>0</v>
      </c>
    </row>
    <row r="33" spans="1:9" x14ac:dyDescent="0.25">
      <c r="A33" s="45" t="s">
        <v>88</v>
      </c>
      <c r="B33" s="46"/>
      <c r="C33" s="46"/>
      <c r="D33" s="46"/>
      <c r="E33" s="46"/>
      <c r="F33" s="46"/>
      <c r="G33" s="46"/>
      <c r="H33" s="47">
        <f>SUM(H28:H32)</f>
        <v>0</v>
      </c>
      <c r="I33" s="47">
        <f>SUM(I28:I32)</f>
        <v>0</v>
      </c>
    </row>
    <row r="34" spans="1:9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ht="15.75" x14ac:dyDescent="0.25">
      <c r="A35" s="37" t="s">
        <v>89</v>
      </c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38" t="s">
        <v>90</v>
      </c>
    </row>
    <row r="37" spans="1:9" ht="35.1" customHeight="1" x14ac:dyDescent="0.25">
      <c r="A37" s="39" t="s">
        <v>64</v>
      </c>
      <c r="B37" s="40" t="s">
        <v>91</v>
      </c>
      <c r="C37" s="40" t="s">
        <v>92</v>
      </c>
      <c r="D37" s="40" t="s">
        <v>93</v>
      </c>
      <c r="E37" s="40" t="s">
        <v>67</v>
      </c>
      <c r="F37" s="30"/>
      <c r="G37" s="30"/>
      <c r="H37" s="40" t="s">
        <v>69</v>
      </c>
      <c r="I37" s="40" t="s">
        <v>70</v>
      </c>
    </row>
    <row r="38" spans="1:9" x14ac:dyDescent="0.25">
      <c r="A38" s="41" t="s">
        <v>94</v>
      </c>
      <c r="B38" s="48"/>
      <c r="C38" s="48"/>
      <c r="D38" s="21"/>
      <c r="E38" s="23">
        <f>Settings!B22</f>
        <v>1</v>
      </c>
      <c r="F38" s="30"/>
      <c r="G38" s="30"/>
      <c r="H38" s="44">
        <f>IF(AND(B38="",C38=""),0,(IF(B38="",0,B38)*E38)+(IF(C38="",0,C38)*D38*E38))</f>
        <v>0</v>
      </c>
      <c r="I38" s="44">
        <f>IF(C38="",0,C38*D38*E38)</f>
        <v>0</v>
      </c>
    </row>
    <row r="39" spans="1:9" x14ac:dyDescent="0.25">
      <c r="A39" s="20"/>
      <c r="B39" s="48"/>
      <c r="C39" s="48"/>
      <c r="D39" s="21"/>
      <c r="E39" s="23">
        <f>Settings!B22</f>
        <v>1</v>
      </c>
      <c r="F39" s="30"/>
      <c r="G39" s="30"/>
      <c r="H39" s="44">
        <f>IF(AND(B39="",C39=""),0,(IF(B39="",0,B39)*E39)+(IF(C39="",0,C39)*D39*E39))</f>
        <v>0</v>
      </c>
      <c r="I39" s="44">
        <f>IF(C39="",0,C39*D39*E39)</f>
        <v>0</v>
      </c>
    </row>
    <row r="40" spans="1:9" x14ac:dyDescent="0.25">
      <c r="A40" s="20"/>
      <c r="B40" s="48"/>
      <c r="C40" s="48"/>
      <c r="D40" s="21"/>
      <c r="E40" s="23">
        <f>Settings!B22</f>
        <v>1</v>
      </c>
      <c r="F40" s="30"/>
      <c r="G40" s="30"/>
      <c r="H40" s="44">
        <f>IF(AND(B40="",C40=""),0,(IF(B40="",0,B40)*E40)+(IF(C40="",0,C40)*D40*E40))</f>
        <v>0</v>
      </c>
      <c r="I40" s="44">
        <f>IF(C40="",0,C40*D40*E40)</f>
        <v>0</v>
      </c>
    </row>
    <row r="41" spans="1:9" x14ac:dyDescent="0.25">
      <c r="A41" s="20"/>
      <c r="B41" s="48"/>
      <c r="C41" s="48"/>
      <c r="D41" s="21"/>
      <c r="E41" s="23">
        <f>Settings!B22</f>
        <v>1</v>
      </c>
      <c r="F41" s="30"/>
      <c r="G41" s="30"/>
      <c r="H41" s="44">
        <f>IF(AND(B41="",C41=""),0,(IF(B41="",0,B41)*E41)+(IF(C41="",0,C41)*D41*E41))</f>
        <v>0</v>
      </c>
      <c r="I41" s="44">
        <f>IF(C41="",0,C41*D41*E41)</f>
        <v>0</v>
      </c>
    </row>
    <row r="42" spans="1:9" x14ac:dyDescent="0.25">
      <c r="A42" s="20"/>
      <c r="B42" s="48"/>
      <c r="C42" s="48"/>
      <c r="D42" s="21"/>
      <c r="E42" s="23">
        <f>Settings!B22</f>
        <v>1</v>
      </c>
      <c r="F42" s="30"/>
      <c r="G42" s="30"/>
      <c r="H42" s="44">
        <f>IF(AND(B42="",C42=""),0,(IF(B42="",0,B42)*E42)+(IF(C42="",0,C42)*D42*E42))</f>
        <v>0</v>
      </c>
      <c r="I42" s="44">
        <f>IF(C42="",0,C42*D42*E42)</f>
        <v>0</v>
      </c>
    </row>
    <row r="43" spans="1:9" x14ac:dyDescent="0.25">
      <c r="A43" s="45" t="s">
        <v>95</v>
      </c>
      <c r="B43" s="46"/>
      <c r="C43" s="46"/>
      <c r="D43" s="46"/>
      <c r="E43" s="46"/>
      <c r="F43" s="46"/>
      <c r="G43" s="46"/>
      <c r="H43" s="47">
        <f>SUM(H38:H42)</f>
        <v>0</v>
      </c>
      <c r="I43" s="47">
        <f>SUM(I38:I42)</f>
        <v>0</v>
      </c>
    </row>
    <row r="44" spans="1:9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9" ht="15.75" x14ac:dyDescent="0.25">
      <c r="A45" s="37" t="s">
        <v>96</v>
      </c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38" t="s">
        <v>97</v>
      </c>
    </row>
    <row r="47" spans="1:9" ht="30" x14ac:dyDescent="0.25">
      <c r="A47" s="39" t="s">
        <v>98</v>
      </c>
      <c r="B47" s="30"/>
      <c r="C47" s="30"/>
      <c r="D47" s="19" t="s">
        <v>99</v>
      </c>
      <c r="E47" s="30"/>
      <c r="F47" s="30"/>
      <c r="G47" s="30"/>
      <c r="H47" s="40" t="s">
        <v>69</v>
      </c>
      <c r="I47" s="40" t="s">
        <v>70</v>
      </c>
    </row>
    <row r="48" spans="1:9" x14ac:dyDescent="0.25">
      <c r="A48" s="8" t="s">
        <v>100</v>
      </c>
      <c r="D48" s="23">
        <f>Settings!B28</f>
        <v>10</v>
      </c>
    </row>
    <row r="49" spans="1:9" x14ac:dyDescent="0.25">
      <c r="A49" t="s">
        <v>47</v>
      </c>
      <c r="D49" s="23">
        <f>Settings!B29</f>
        <v>0</v>
      </c>
    </row>
    <row r="50" spans="1:9" x14ac:dyDescent="0.25">
      <c r="A50" s="8" t="s">
        <v>101</v>
      </c>
      <c r="D50" s="49">
        <f>D48-D49</f>
        <v>10</v>
      </c>
    </row>
    <row r="51" spans="1:9" x14ac:dyDescent="0.25">
      <c r="A51" s="3" t="s">
        <v>102</v>
      </c>
      <c r="D51" s="50" t="str">
        <f>D48&amp;" fields × "&amp;Settings!B30&amp;" min × "&amp;Settings!B22&amp;" entities"</f>
        <v>10 fields × 20 min × 1 entities</v>
      </c>
      <c r="H51" s="44">
        <f>D48*(Settings!B30/60)*Settings!B24*Settings!B22</f>
        <v>283.33333333333331</v>
      </c>
      <c r="I51" s="44">
        <f>D48*(Settings!B30/60)*Settings!B24*Settings!B22</f>
        <v>283.33333333333331</v>
      </c>
    </row>
    <row r="52" spans="1:9" x14ac:dyDescent="0.25">
      <c r="A52" s="51" t="s">
        <v>103</v>
      </c>
      <c r="D52" s="50" t="str">
        <f>D49&amp;" fields × "&amp;Settings!B30&amp;" min × "&amp;Settings!B22&amp;" entities"</f>
        <v>0 fields × 20 min × 1 entities</v>
      </c>
      <c r="H52" s="52">
        <f>-(D49*(Settings!B30/60)*Settings!B24*Settings!B22)</f>
        <v>0</v>
      </c>
      <c r="I52" s="52">
        <f>-(D49*(Settings!B30/60)*Settings!B24*Settings!B22)</f>
        <v>0</v>
      </c>
    </row>
    <row r="53" spans="1:9" x14ac:dyDescent="0.25">
      <c r="A53" s="17" t="s">
        <v>104</v>
      </c>
      <c r="D53" s="50" t="str">
        <f>D50&amp;" net new fields"</f>
        <v>10 net new fields</v>
      </c>
      <c r="H53" s="53">
        <f>H51+H52</f>
        <v>283.33333333333331</v>
      </c>
      <c r="I53" s="53">
        <f>I51+I52</f>
        <v>283.33333333333331</v>
      </c>
    </row>
    <row r="54" spans="1:9" x14ac:dyDescent="0.25">
      <c r="A54" s="45" t="s">
        <v>105</v>
      </c>
      <c r="B54" s="46"/>
      <c r="C54" s="46"/>
      <c r="D54" s="46"/>
      <c r="E54" s="46"/>
      <c r="F54" s="46"/>
      <c r="G54" s="46"/>
      <c r="H54" s="47">
        <f>H53</f>
        <v>283.33333333333331</v>
      </c>
      <c r="I54" s="47">
        <f>I53</f>
        <v>283.33333333333331</v>
      </c>
    </row>
    <row r="55" spans="1:9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ht="17.25" x14ac:dyDescent="0.3">
      <c r="A56" s="54" t="s">
        <v>106</v>
      </c>
      <c r="B56" s="2"/>
      <c r="C56" s="2"/>
      <c r="D56" s="2"/>
      <c r="E56" s="2"/>
      <c r="F56" s="2"/>
      <c r="G56" s="2"/>
      <c r="H56" s="55">
        <f>H13+H23+H33+H43+H54</f>
        <v>283.33333333333331</v>
      </c>
      <c r="I56" s="55">
        <f>I13+I23+I33+I43+I54</f>
        <v>283.33333333333331</v>
      </c>
    </row>
    <row r="57" spans="1:9" x14ac:dyDescent="0.25">
      <c r="A57" s="5"/>
      <c r="B57" s="5"/>
      <c r="C57" s="5"/>
      <c r="D57" s="5"/>
      <c r="E57" s="5"/>
      <c r="F57" s="5"/>
      <c r="G57" s="5"/>
      <c r="H57" s="5"/>
      <c r="I5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6322-8542-4FDB-A11D-CAC2FB26314B}">
  <dimension ref="A1:F4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5.42578125" customWidth="1"/>
    <col min="2" max="6" width="21.85546875" customWidth="1"/>
  </cols>
  <sheetData>
    <row r="1" spans="1:6" ht="18.75" x14ac:dyDescent="0.3">
      <c r="A1" s="1" t="s">
        <v>107</v>
      </c>
      <c r="B1" s="2"/>
      <c r="C1" s="2"/>
    </row>
    <row r="2" spans="1:6" x14ac:dyDescent="0.25">
      <c r="A2" s="35" t="s">
        <v>108</v>
      </c>
    </row>
    <row r="3" spans="1:6" x14ac:dyDescent="0.25">
      <c r="A3" s="5"/>
      <c r="B3" s="5"/>
      <c r="C3" s="5"/>
    </row>
    <row r="4" spans="1:6" x14ac:dyDescent="0.25">
      <c r="A4" s="6" t="s">
        <v>109</v>
      </c>
      <c r="B4" s="7" t="s">
        <v>110</v>
      </c>
      <c r="C4" s="16"/>
    </row>
    <row r="5" spans="1:6" x14ac:dyDescent="0.25">
      <c r="A5" s="8" t="s">
        <v>13</v>
      </c>
      <c r="B5" s="15">
        <f>Settings!B26</f>
        <v>7.0000000000000007E-2</v>
      </c>
      <c r="C5" s="8"/>
    </row>
    <row r="6" spans="1:6" x14ac:dyDescent="0.25">
      <c r="A6" t="s">
        <v>55</v>
      </c>
      <c r="B6" s="33">
        <f>Settings!B27</f>
        <v>10</v>
      </c>
    </row>
    <row r="7" spans="1:6" x14ac:dyDescent="0.25">
      <c r="A7" s="8" t="s">
        <v>111</v>
      </c>
      <c r="B7" s="56">
        <f>'Cost Calculator'!H56</f>
        <v>283.33333333333331</v>
      </c>
      <c r="C7" s="8"/>
    </row>
    <row r="8" spans="1:6" x14ac:dyDescent="0.25">
      <c r="A8" t="s">
        <v>112</v>
      </c>
      <c r="B8" s="57">
        <f>'Cost Calculator'!I56</f>
        <v>283.33333333333331</v>
      </c>
    </row>
    <row r="9" spans="1:6" x14ac:dyDescent="0.25">
      <c r="A9" s="5"/>
      <c r="B9" s="5"/>
      <c r="C9" s="5"/>
    </row>
    <row r="10" spans="1:6" x14ac:dyDescent="0.25">
      <c r="A10" s="6" t="s">
        <v>113</v>
      </c>
      <c r="B10" s="16"/>
      <c r="C10" s="16"/>
      <c r="D10" s="16"/>
      <c r="E10" s="16"/>
      <c r="F10" s="16"/>
    </row>
    <row r="11" spans="1:6" x14ac:dyDescent="0.25">
      <c r="A11" s="19" t="s">
        <v>114</v>
      </c>
      <c r="B11" s="19" t="s">
        <v>115</v>
      </c>
      <c r="C11" s="19" t="s">
        <v>116</v>
      </c>
      <c r="D11" s="19" t="s">
        <v>117</v>
      </c>
      <c r="E11" s="19" t="s">
        <v>118</v>
      </c>
      <c r="F11" s="19" t="s">
        <v>119</v>
      </c>
    </row>
    <row r="12" spans="1:6" x14ac:dyDescent="0.25">
      <c r="A12" s="9">
        <v>1</v>
      </c>
      <c r="B12" s="56">
        <f>$B$7</f>
        <v>283.33333333333331</v>
      </c>
      <c r="C12" s="58">
        <f>1/(1+$B$5)^(A12-1)</f>
        <v>1</v>
      </c>
      <c r="D12" s="56">
        <f>B12*C12</f>
        <v>283.33333333333331</v>
      </c>
      <c r="E12" s="56">
        <f>D12</f>
        <v>283.33333333333331</v>
      </c>
      <c r="F12" s="32" t="s">
        <v>120</v>
      </c>
    </row>
    <row r="13" spans="1:6" x14ac:dyDescent="0.25">
      <c r="A13" s="13">
        <f>A12+1</f>
        <v>2</v>
      </c>
      <c r="B13" s="57">
        <f>IF(A13&gt;$B$6,"",$B$8)</f>
        <v>283.33333333333331</v>
      </c>
      <c r="C13" s="59">
        <f>IF(A13&gt;$B$6,"",1/(1+$B$5)^(A13-1))</f>
        <v>0.93457943925233644</v>
      </c>
      <c r="D13" s="57">
        <f>IF(A13&gt;$B$6,"",B13*C13)</f>
        <v>264.79750778816197</v>
      </c>
      <c r="E13" s="57">
        <f>IF(A13&gt;$B$6,"",E12+D13)</f>
        <v>548.13084112149522</v>
      </c>
      <c r="F13" s="34" t="str">
        <f>IF(A13&gt;$B$6,"","Ongoing")</f>
        <v>Ongoing</v>
      </c>
    </row>
    <row r="14" spans="1:6" x14ac:dyDescent="0.25">
      <c r="A14" s="13">
        <f t="shared" ref="A14:A31" si="0">A13+1</f>
        <v>3</v>
      </c>
      <c r="B14" s="57">
        <f t="shared" ref="B14:B31" si="1">IF(A14&gt;$B$6,"",$B$8)</f>
        <v>283.33333333333331</v>
      </c>
      <c r="C14" s="59">
        <f t="shared" ref="C14:C31" si="2">IF(A14&gt;$B$6,"",1/(1+$B$5)^(A14-1))</f>
        <v>0.87343872827321156</v>
      </c>
      <c r="D14" s="57">
        <f t="shared" ref="D14:D31" si="3">IF(A14&gt;$B$6,"",B14*C14)</f>
        <v>247.47430634407658</v>
      </c>
      <c r="E14" s="57">
        <f t="shared" ref="E14:E31" si="4">IF(A14&gt;$B$6,"",E13+D14)</f>
        <v>795.6051474655718</v>
      </c>
      <c r="F14" s="34" t="str">
        <f t="shared" ref="F14:F31" si="5">IF(A14&gt;$B$6,"","Ongoing")</f>
        <v>Ongoing</v>
      </c>
    </row>
    <row r="15" spans="1:6" x14ac:dyDescent="0.25">
      <c r="A15" s="13">
        <f t="shared" si="0"/>
        <v>4</v>
      </c>
      <c r="B15" s="57">
        <f t="shared" si="1"/>
        <v>283.33333333333331</v>
      </c>
      <c r="C15" s="59">
        <f t="shared" si="2"/>
        <v>0.81629787689085187</v>
      </c>
      <c r="D15" s="57">
        <f t="shared" si="3"/>
        <v>231.28439845240803</v>
      </c>
      <c r="E15" s="57">
        <f t="shared" si="4"/>
        <v>1026.8895459179798</v>
      </c>
      <c r="F15" s="34" t="str">
        <f t="shared" si="5"/>
        <v>Ongoing</v>
      </c>
    </row>
    <row r="16" spans="1:6" x14ac:dyDescent="0.25">
      <c r="A16" s="13">
        <f t="shared" si="0"/>
        <v>5</v>
      </c>
      <c r="B16" s="57">
        <f t="shared" si="1"/>
        <v>283.33333333333331</v>
      </c>
      <c r="C16" s="59">
        <f t="shared" si="2"/>
        <v>0.7628952120475252</v>
      </c>
      <c r="D16" s="57">
        <f t="shared" si="3"/>
        <v>216.15364341346546</v>
      </c>
      <c r="E16" s="57">
        <f t="shared" si="4"/>
        <v>1243.0431893314453</v>
      </c>
      <c r="F16" s="34" t="str">
        <f t="shared" si="5"/>
        <v>Ongoing</v>
      </c>
    </row>
    <row r="17" spans="1:6" x14ac:dyDescent="0.25">
      <c r="A17" s="13">
        <f t="shared" si="0"/>
        <v>6</v>
      </c>
      <c r="B17" s="57">
        <f t="shared" si="1"/>
        <v>283.33333333333331</v>
      </c>
      <c r="C17" s="59">
        <f t="shared" si="2"/>
        <v>0.71298617948366838</v>
      </c>
      <c r="D17" s="57">
        <f t="shared" si="3"/>
        <v>202.01275085370602</v>
      </c>
      <c r="E17" s="57">
        <f t="shared" si="4"/>
        <v>1445.0559401851513</v>
      </c>
      <c r="F17" s="34" t="str">
        <f t="shared" si="5"/>
        <v>Ongoing</v>
      </c>
    </row>
    <row r="18" spans="1:6" x14ac:dyDescent="0.25">
      <c r="A18" s="13">
        <f t="shared" si="0"/>
        <v>7</v>
      </c>
      <c r="B18" s="57">
        <f t="shared" si="1"/>
        <v>283.33333333333331</v>
      </c>
      <c r="C18" s="59">
        <f t="shared" si="2"/>
        <v>0.66634222381651254</v>
      </c>
      <c r="D18" s="57">
        <f t="shared" si="3"/>
        <v>188.79696341467854</v>
      </c>
      <c r="E18" s="57">
        <f t="shared" si="4"/>
        <v>1633.8529035998299</v>
      </c>
      <c r="F18" s="34" t="str">
        <f t="shared" si="5"/>
        <v>Ongoing</v>
      </c>
    </row>
    <row r="19" spans="1:6" x14ac:dyDescent="0.25">
      <c r="A19" s="13">
        <f t="shared" si="0"/>
        <v>8</v>
      </c>
      <c r="B19" s="57">
        <f t="shared" si="1"/>
        <v>283.33333333333331</v>
      </c>
      <c r="C19" s="59">
        <f t="shared" si="2"/>
        <v>0.62274974188459109</v>
      </c>
      <c r="D19" s="57">
        <f t="shared" si="3"/>
        <v>176.44576020063414</v>
      </c>
      <c r="E19" s="57">
        <f t="shared" si="4"/>
        <v>1810.2986638004641</v>
      </c>
      <c r="F19" s="34" t="str">
        <f t="shared" si="5"/>
        <v>Ongoing</v>
      </c>
    </row>
    <row r="20" spans="1:6" x14ac:dyDescent="0.25">
      <c r="A20" s="13">
        <f t="shared" si="0"/>
        <v>9</v>
      </c>
      <c r="B20" s="57">
        <f t="shared" si="1"/>
        <v>283.33333333333331</v>
      </c>
      <c r="C20" s="59">
        <f t="shared" si="2"/>
        <v>0.5820091045650384</v>
      </c>
      <c r="D20" s="57">
        <f t="shared" si="3"/>
        <v>164.90257962676088</v>
      </c>
      <c r="E20" s="57">
        <f t="shared" si="4"/>
        <v>1975.2012434272249</v>
      </c>
      <c r="F20" s="34" t="str">
        <f t="shared" si="5"/>
        <v>Ongoing</v>
      </c>
    </row>
    <row r="21" spans="1:6" x14ac:dyDescent="0.25">
      <c r="A21" s="13">
        <f t="shared" si="0"/>
        <v>10</v>
      </c>
      <c r="B21" s="57">
        <f t="shared" si="1"/>
        <v>283.33333333333331</v>
      </c>
      <c r="C21" s="59">
        <f t="shared" si="2"/>
        <v>0.54393374258414806</v>
      </c>
      <c r="D21" s="57">
        <f t="shared" si="3"/>
        <v>154.11456039884195</v>
      </c>
      <c r="E21" s="57">
        <f t="shared" si="4"/>
        <v>2129.3158038260667</v>
      </c>
      <c r="F21" s="34" t="str">
        <f t="shared" si="5"/>
        <v>Ongoing</v>
      </c>
    </row>
    <row r="22" spans="1:6" x14ac:dyDescent="0.25">
      <c r="A22" s="13">
        <f t="shared" si="0"/>
        <v>11</v>
      </c>
      <c r="B22" s="57" t="str">
        <f t="shared" si="1"/>
        <v/>
      </c>
      <c r="C22" s="59" t="str">
        <f t="shared" si="2"/>
        <v/>
      </c>
      <c r="D22" s="57" t="str">
        <f t="shared" si="3"/>
        <v/>
      </c>
      <c r="E22" s="57" t="str">
        <f t="shared" si="4"/>
        <v/>
      </c>
      <c r="F22" s="34" t="str">
        <f t="shared" si="5"/>
        <v/>
      </c>
    </row>
    <row r="23" spans="1:6" x14ac:dyDescent="0.25">
      <c r="A23" s="13">
        <f t="shared" si="0"/>
        <v>12</v>
      </c>
      <c r="B23" s="57" t="str">
        <f t="shared" si="1"/>
        <v/>
      </c>
      <c r="C23" s="59" t="str">
        <f t="shared" si="2"/>
        <v/>
      </c>
      <c r="D23" s="57" t="str">
        <f t="shared" si="3"/>
        <v/>
      </c>
      <c r="E23" s="57" t="str">
        <f t="shared" si="4"/>
        <v/>
      </c>
      <c r="F23" s="34" t="str">
        <f t="shared" si="5"/>
        <v/>
      </c>
    </row>
    <row r="24" spans="1:6" x14ac:dyDescent="0.25">
      <c r="A24" s="13">
        <f t="shared" si="0"/>
        <v>13</v>
      </c>
      <c r="B24" s="57" t="str">
        <f t="shared" si="1"/>
        <v/>
      </c>
      <c r="C24" s="59" t="str">
        <f t="shared" si="2"/>
        <v/>
      </c>
      <c r="D24" s="57" t="str">
        <f t="shared" si="3"/>
        <v/>
      </c>
      <c r="E24" s="57" t="str">
        <f t="shared" si="4"/>
        <v/>
      </c>
      <c r="F24" s="34" t="str">
        <f t="shared" si="5"/>
        <v/>
      </c>
    </row>
    <row r="25" spans="1:6" x14ac:dyDescent="0.25">
      <c r="A25" s="13">
        <f t="shared" si="0"/>
        <v>14</v>
      </c>
      <c r="B25" s="57" t="str">
        <f t="shared" si="1"/>
        <v/>
      </c>
      <c r="C25" s="59" t="str">
        <f t="shared" si="2"/>
        <v/>
      </c>
      <c r="D25" s="57" t="str">
        <f t="shared" si="3"/>
        <v/>
      </c>
      <c r="E25" s="57" t="str">
        <f t="shared" si="4"/>
        <v/>
      </c>
      <c r="F25" s="34" t="str">
        <f t="shared" si="5"/>
        <v/>
      </c>
    </row>
    <row r="26" spans="1:6" x14ac:dyDescent="0.25">
      <c r="A26" s="13">
        <f t="shared" si="0"/>
        <v>15</v>
      </c>
      <c r="B26" s="57" t="str">
        <f t="shared" si="1"/>
        <v/>
      </c>
      <c r="C26" s="59" t="str">
        <f t="shared" si="2"/>
        <v/>
      </c>
      <c r="D26" s="57" t="str">
        <f t="shared" si="3"/>
        <v/>
      </c>
      <c r="E26" s="57" t="str">
        <f t="shared" si="4"/>
        <v/>
      </c>
      <c r="F26" s="34" t="str">
        <f t="shared" si="5"/>
        <v/>
      </c>
    </row>
    <row r="27" spans="1:6" x14ac:dyDescent="0.25">
      <c r="A27" s="13">
        <f t="shared" si="0"/>
        <v>16</v>
      </c>
      <c r="B27" s="57" t="str">
        <f t="shared" si="1"/>
        <v/>
      </c>
      <c r="C27" s="59" t="str">
        <f t="shared" si="2"/>
        <v/>
      </c>
      <c r="D27" s="57" t="str">
        <f t="shared" si="3"/>
        <v/>
      </c>
      <c r="E27" s="57" t="str">
        <f t="shared" si="4"/>
        <v/>
      </c>
      <c r="F27" s="34" t="str">
        <f t="shared" si="5"/>
        <v/>
      </c>
    </row>
    <row r="28" spans="1:6" x14ac:dyDescent="0.25">
      <c r="A28" s="13">
        <f t="shared" si="0"/>
        <v>17</v>
      </c>
      <c r="B28" s="57" t="str">
        <f t="shared" si="1"/>
        <v/>
      </c>
      <c r="C28" s="59" t="str">
        <f t="shared" si="2"/>
        <v/>
      </c>
      <c r="D28" s="57" t="str">
        <f t="shared" si="3"/>
        <v/>
      </c>
      <c r="E28" s="57" t="str">
        <f t="shared" si="4"/>
        <v/>
      </c>
      <c r="F28" s="34" t="str">
        <f t="shared" si="5"/>
        <v/>
      </c>
    </row>
    <row r="29" spans="1:6" x14ac:dyDescent="0.25">
      <c r="A29" s="13">
        <f t="shared" si="0"/>
        <v>18</v>
      </c>
      <c r="B29" s="57" t="str">
        <f t="shared" si="1"/>
        <v/>
      </c>
      <c r="C29" s="59" t="str">
        <f t="shared" si="2"/>
        <v/>
      </c>
      <c r="D29" s="57" t="str">
        <f t="shared" si="3"/>
        <v/>
      </c>
      <c r="E29" s="57" t="str">
        <f t="shared" si="4"/>
        <v/>
      </c>
      <c r="F29" s="34" t="str">
        <f t="shared" si="5"/>
        <v/>
      </c>
    </row>
    <row r="30" spans="1:6" x14ac:dyDescent="0.25">
      <c r="A30" s="13">
        <f t="shared" si="0"/>
        <v>19</v>
      </c>
      <c r="B30" s="57" t="str">
        <f t="shared" si="1"/>
        <v/>
      </c>
      <c r="C30" s="59" t="str">
        <f t="shared" si="2"/>
        <v/>
      </c>
      <c r="D30" s="57" t="str">
        <f t="shared" si="3"/>
        <v/>
      </c>
      <c r="E30" s="57" t="str">
        <f t="shared" si="4"/>
        <v/>
      </c>
      <c r="F30" s="34" t="str">
        <f t="shared" si="5"/>
        <v/>
      </c>
    </row>
    <row r="31" spans="1:6" x14ac:dyDescent="0.25">
      <c r="A31" s="13">
        <f t="shared" si="0"/>
        <v>20</v>
      </c>
      <c r="B31" s="57" t="str">
        <f t="shared" si="1"/>
        <v/>
      </c>
      <c r="C31" s="59" t="str">
        <f t="shared" si="2"/>
        <v/>
      </c>
      <c r="D31" s="57" t="str">
        <f t="shared" si="3"/>
        <v/>
      </c>
      <c r="E31" s="57" t="str">
        <f t="shared" si="4"/>
        <v/>
      </c>
      <c r="F31" s="34" t="str">
        <f t="shared" si="5"/>
        <v/>
      </c>
    </row>
    <row r="32" spans="1:6" x14ac:dyDescent="0.25">
      <c r="A32" s="5"/>
      <c r="B32" s="5"/>
      <c r="C32" s="5"/>
      <c r="D32" s="5"/>
      <c r="E32" s="5"/>
      <c r="F32" s="5"/>
    </row>
    <row r="33" spans="1:6" ht="15.75" x14ac:dyDescent="0.25">
      <c r="A33" s="37" t="s">
        <v>121</v>
      </c>
      <c r="B33" s="2"/>
      <c r="C33" s="2"/>
      <c r="D33" s="60">
        <f>SUM(D12:D31)</f>
        <v>2129.3158038260667</v>
      </c>
      <c r="E33" s="2"/>
      <c r="F33" s="2"/>
    </row>
    <row r="35" spans="1:6" x14ac:dyDescent="0.25">
      <c r="A35" s="6" t="s">
        <v>122</v>
      </c>
      <c r="B35" s="7" t="s">
        <v>123</v>
      </c>
      <c r="C35" s="7" t="s">
        <v>124</v>
      </c>
      <c r="D35" s="7" t="s">
        <v>131</v>
      </c>
    </row>
    <row r="36" spans="1:6" x14ac:dyDescent="0.25">
      <c r="A36" s="8" t="s">
        <v>125</v>
      </c>
      <c r="B36" s="56">
        <f>'Cost Calculator'!H13</f>
        <v>0</v>
      </c>
      <c r="C36" s="56">
        <f>'Cost Calculator'!I13</f>
        <v>0</v>
      </c>
      <c r="D36" s="15">
        <f>IF(B41=0,0,B36/B41)</f>
        <v>0</v>
      </c>
    </row>
    <row r="37" spans="1:6" x14ac:dyDescent="0.25">
      <c r="A37" t="s">
        <v>126</v>
      </c>
      <c r="B37" s="57">
        <f>'Cost Calculator'!H23</f>
        <v>0</v>
      </c>
      <c r="C37" s="57">
        <f>'Cost Calculator'!I23</f>
        <v>0</v>
      </c>
      <c r="D37" s="61">
        <f>IF(B41=0,0,B37/B41)</f>
        <v>0</v>
      </c>
    </row>
    <row r="38" spans="1:6" x14ac:dyDescent="0.25">
      <c r="A38" s="8" t="s">
        <v>127</v>
      </c>
      <c r="B38" s="56">
        <f>'Cost Calculator'!H33</f>
        <v>0</v>
      </c>
      <c r="C38" s="56">
        <f>'Cost Calculator'!I33</f>
        <v>0</v>
      </c>
      <c r="D38" s="15">
        <f>IF(B41=0,0,B38/B41)</f>
        <v>0</v>
      </c>
    </row>
    <row r="39" spans="1:6" x14ac:dyDescent="0.25">
      <c r="A39" t="s">
        <v>128</v>
      </c>
      <c r="B39" s="57">
        <f>'Cost Calculator'!H43</f>
        <v>0</v>
      </c>
      <c r="C39" s="57">
        <f>'Cost Calculator'!I43</f>
        <v>0</v>
      </c>
      <c r="D39" s="61">
        <f>IF(B41=0,0,B39/B41)</f>
        <v>0</v>
      </c>
    </row>
    <row r="40" spans="1:6" x14ac:dyDescent="0.25">
      <c r="A40" s="8" t="s">
        <v>129</v>
      </c>
      <c r="B40" s="56">
        <f>'Cost Calculator'!H54</f>
        <v>283.33333333333331</v>
      </c>
      <c r="C40" s="56">
        <f>'Cost Calculator'!I54</f>
        <v>283.33333333333331</v>
      </c>
      <c r="D40" s="15">
        <f>IF(B41=0,0,B40/B41)</f>
        <v>1</v>
      </c>
    </row>
    <row r="41" spans="1:6" x14ac:dyDescent="0.25">
      <c r="A41" s="45" t="s">
        <v>130</v>
      </c>
      <c r="B41" s="47">
        <f>SUM(B36:B40)</f>
        <v>283.33333333333331</v>
      </c>
      <c r="C41" s="47">
        <f>SUM(C36:C40)</f>
        <v>283.33333333333331</v>
      </c>
      <c r="D41" s="62">
        <f>SUM(D36:D40)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8524-48ED-4194-883B-5A9444B99326}">
  <dimension ref="A1:C20"/>
  <sheetViews>
    <sheetView workbookViewId="0">
      <selection activeCell="B1" sqref="B1"/>
    </sheetView>
  </sheetViews>
  <sheetFormatPr defaultRowHeight="15" x14ac:dyDescent="0.25"/>
  <cols>
    <col min="1" max="1" width="50.85546875" customWidth="1"/>
    <col min="2" max="2" width="21.85546875" customWidth="1"/>
    <col min="3" max="3" width="54.5703125" customWidth="1"/>
  </cols>
  <sheetData>
    <row r="1" spans="1:3" ht="18.75" x14ac:dyDescent="0.3">
      <c r="A1" s="1" t="s">
        <v>0</v>
      </c>
      <c r="B1" s="2"/>
      <c r="C1" s="2"/>
    </row>
    <row r="2" spans="1:3" x14ac:dyDescent="0.25">
      <c r="A2" s="4" t="s">
        <v>1</v>
      </c>
    </row>
    <row r="3" spans="1:3" x14ac:dyDescent="0.25">
      <c r="A3" s="5"/>
      <c r="B3" s="5"/>
      <c r="C3" s="5"/>
    </row>
    <row r="4" spans="1:3" x14ac:dyDescent="0.25">
      <c r="A4" s="6" t="s">
        <v>2</v>
      </c>
      <c r="B4" s="7" t="s">
        <v>3</v>
      </c>
      <c r="C4" s="6" t="s">
        <v>4</v>
      </c>
    </row>
    <row r="5" spans="1:3" x14ac:dyDescent="0.25">
      <c r="A5" s="8" t="s">
        <v>5</v>
      </c>
      <c r="B5" s="10">
        <v>85</v>
      </c>
      <c r="C5" s="12" t="s">
        <v>6</v>
      </c>
    </row>
    <row r="6" spans="1:3" x14ac:dyDescent="0.25">
      <c r="A6" t="s">
        <v>7</v>
      </c>
      <c r="B6" s="14">
        <v>37</v>
      </c>
      <c r="C6" s="11" t="s">
        <v>8</v>
      </c>
    </row>
    <row r="7" spans="1:3" x14ac:dyDescent="0.25">
      <c r="A7" s="8" t="s">
        <v>9</v>
      </c>
      <c r="B7" s="9">
        <v>1</v>
      </c>
      <c r="C7" s="12" t="s">
        <v>10</v>
      </c>
    </row>
    <row r="8" spans="1:3" x14ac:dyDescent="0.25">
      <c r="A8" t="s">
        <v>11</v>
      </c>
      <c r="B8" s="13">
        <v>1</v>
      </c>
      <c r="C8" s="11" t="s">
        <v>12</v>
      </c>
    </row>
    <row r="9" spans="1:3" x14ac:dyDescent="0.25">
      <c r="A9" s="8" t="s">
        <v>13</v>
      </c>
      <c r="B9" s="15">
        <v>7.0000000000000007E-2</v>
      </c>
      <c r="C9" s="12" t="s">
        <v>14</v>
      </c>
    </row>
    <row r="10" spans="1:3" x14ac:dyDescent="0.25">
      <c r="A10" t="s">
        <v>15</v>
      </c>
      <c r="B10" s="13">
        <v>10</v>
      </c>
      <c r="C10" s="11" t="s">
        <v>16</v>
      </c>
    </row>
    <row r="11" spans="1:3" x14ac:dyDescent="0.25">
      <c r="A11" s="5"/>
      <c r="B11" s="5"/>
      <c r="C11" s="5"/>
    </row>
    <row r="12" spans="1:3" x14ac:dyDescent="0.25">
      <c r="A12" s="6" t="s">
        <v>17</v>
      </c>
      <c r="B12" s="16"/>
      <c r="C12" s="16"/>
    </row>
    <row r="13" spans="1:3" x14ac:dyDescent="0.25">
      <c r="A13" s="8" t="s">
        <v>18</v>
      </c>
      <c r="B13" s="9">
        <v>20</v>
      </c>
      <c r="C13" s="12" t="s">
        <v>19</v>
      </c>
    </row>
    <row r="14" spans="1:3" x14ac:dyDescent="0.25">
      <c r="A14" t="s">
        <v>20</v>
      </c>
      <c r="B14" s="13">
        <v>10</v>
      </c>
      <c r="C14" s="11" t="s">
        <v>21</v>
      </c>
    </row>
    <row r="15" spans="1:3" x14ac:dyDescent="0.25">
      <c r="A15" s="8" t="s">
        <v>22</v>
      </c>
      <c r="B15" s="9">
        <v>0</v>
      </c>
      <c r="C15" s="12" t="s">
        <v>23</v>
      </c>
    </row>
    <row r="16" spans="1:3" x14ac:dyDescent="0.25">
      <c r="A16" s="5"/>
      <c r="B16" s="5"/>
      <c r="C16" s="5"/>
    </row>
    <row r="17" spans="1:3" x14ac:dyDescent="0.25">
      <c r="A17" s="6" t="s">
        <v>24</v>
      </c>
      <c r="B17" s="16"/>
      <c r="C17" s="16"/>
    </row>
    <row r="18" spans="1:3" x14ac:dyDescent="0.25">
      <c r="A18" s="8" t="s">
        <v>25</v>
      </c>
      <c r="B18" s="9">
        <v>12</v>
      </c>
      <c r="C18" s="12" t="s">
        <v>26</v>
      </c>
    </row>
    <row r="19" spans="1:3" x14ac:dyDescent="0.25">
      <c r="A19" t="s">
        <v>27</v>
      </c>
      <c r="B19" s="13">
        <v>4</v>
      </c>
      <c r="C19" s="11" t="s">
        <v>26</v>
      </c>
    </row>
    <row r="20" spans="1:3" x14ac:dyDescent="0.25">
      <c r="A20" s="8" t="s">
        <v>28</v>
      </c>
      <c r="B20" s="9">
        <v>1</v>
      </c>
      <c r="C20" s="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Settings</vt:lpstr>
      <vt:lpstr>Cost Calculator</vt:lpstr>
      <vt:lpstr>NPV Summary</vt:lpstr>
      <vt:lpstr>Defaults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Rathus</dc:creator>
  <cp:lastModifiedBy>Joel Rathus</cp:lastModifiedBy>
  <dcterms:created xsi:type="dcterms:W3CDTF">2026-02-16T23:43:11Z</dcterms:created>
  <dcterms:modified xsi:type="dcterms:W3CDTF">2026-04-02T00:40:58Z</dcterms:modified>
</cp:coreProperties>
</file>